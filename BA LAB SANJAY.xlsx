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1552fd40e1c5f1/Desktop/"/>
    </mc:Choice>
  </mc:AlternateContent>
  <xr:revisionPtr revIDLastSave="0" documentId="8_{64A91ABC-9F7C-49CF-B764-BC33A1E36F9A}" xr6:coauthVersionLast="47" xr6:coauthVersionMax="47" xr10:uidLastSave="{00000000-0000-0000-0000-000000000000}"/>
  <bookViews>
    <workbookView xWindow="-108" yWindow="-108" windowWidth="23256" windowHeight="14616" activeTab="7" xr2:uid="{0A5E8E82-E379-44C7-9103-21A1C36FE299}"/>
  </bookViews>
  <sheets>
    <sheet name="EXP 1" sheetId="1" r:id="rId1"/>
    <sheet name="EXP 2A" sheetId="2" r:id="rId2"/>
    <sheet name="EXP 2B" sheetId="3" r:id="rId3"/>
    <sheet name="EXP 3" sheetId="4" r:id="rId4"/>
    <sheet name="EXP 4A" sheetId="5" r:id="rId5"/>
    <sheet name="EXP 4B" sheetId="6" r:id="rId6"/>
    <sheet name="EXP 4C" sheetId="7" r:id="rId7"/>
    <sheet name="EXP 5" sheetId="8" r:id="rId8"/>
  </sheets>
  <definedNames>
    <definedName name="ExternalData_1" localSheetId="2" hidden="1">'EXP 2B'!$A$1:$F$14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8" l="1" a="1"/>
  <c r="G17" i="8" l="1"/>
  <c r="F13" i="8"/>
  <c r="G13" i="8"/>
  <c r="F14" i="8"/>
  <c r="G14" i="8"/>
  <c r="F15" i="8"/>
  <c r="G15" i="8"/>
  <c r="F16" i="8"/>
  <c r="G16" i="8"/>
  <c r="F17" i="8"/>
  <c r="D14" i="2" l="1"/>
  <c r="E14" i="2"/>
  <c r="F14" i="2"/>
  <c r="C14" i="2"/>
  <c r="D13" i="2"/>
  <c r="E13" i="2"/>
  <c r="F13" i="2"/>
  <c r="C13" i="2"/>
  <c r="D12" i="2"/>
  <c r="E12" i="2"/>
  <c r="F12" i="2"/>
  <c r="C12" i="2"/>
  <c r="D11" i="2"/>
  <c r="E11" i="2"/>
  <c r="F11" i="2"/>
  <c r="C11" i="2"/>
  <c r="D10" i="2"/>
  <c r="E10" i="2"/>
  <c r="F10" i="2"/>
  <c r="C10" i="2"/>
  <c r="D9" i="2"/>
  <c r="E9" i="2"/>
  <c r="F9" i="2"/>
  <c r="C9" i="2"/>
  <c r="A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04912-998B-41E8-A701-20D03B19717D}" keepAlive="1" name="Query - Book1" description="Connection to the 'Book1' query in the workbook." type="5" refreshedVersion="8" background="1" saveData="1">
    <dbPr connection="Provider=Microsoft.Mashup.OleDb.1;Data Source=$Workbook$;Location=Book1;Extended Properties=&quot;&quot;" command="SELECT * FROM [Book1]"/>
  </connection>
</connections>
</file>

<file path=xl/sharedStrings.xml><?xml version="1.0" encoding="utf-8"?>
<sst xmlns="http://schemas.openxmlformats.org/spreadsheetml/2006/main" count="175" uniqueCount="94">
  <si>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</si>
  <si>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</si>
  <si>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</si>
  <si>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</si>
  <si>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</si>
  <si>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</si>
  <si>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</si>
  <si>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</si>
  <si>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</si>
  <si>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</si>
  <si>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</si>
  <si>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</si>
  <si>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</si>
  <si>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</si>
  <si>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</si>
  <si>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</si>
  <si>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</si>
  <si>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</si>
  <si>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</si>
  <si>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 NO</t>
  </si>
  <si>
    <t>NAME</t>
  </si>
  <si>
    <t>TAMIL</t>
  </si>
  <si>
    <t>ENGLISH</t>
  </si>
  <si>
    <t>MATHS</t>
  </si>
  <si>
    <t>SCIENCE</t>
  </si>
  <si>
    <t>SAM</t>
  </si>
  <si>
    <t>MAS</t>
  </si>
  <si>
    <t>LOS</t>
  </si>
  <si>
    <t>SOL</t>
  </si>
  <si>
    <t>PAM</t>
  </si>
  <si>
    <t>MAX</t>
  </si>
  <si>
    <t>MIN</t>
  </si>
  <si>
    <t>AVERAGE</t>
  </si>
  <si>
    <t>SUM</t>
  </si>
  <si>
    <t>SQRT</t>
  </si>
  <si>
    <t>ROUND</t>
  </si>
  <si>
    <t/>
  </si>
  <si>
    <t>Column1</t>
  </si>
  <si>
    <t>Column2</t>
  </si>
  <si>
    <t>Column3</t>
  </si>
  <si>
    <t>Column4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</si>
  <si>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</si>
  <si>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</si>
  <si>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</si>
  <si>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</si>
  <si>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</si>
  <si>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</si>
  <si>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</si>
  <si>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</si>
  <si>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</si>
  <si>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</si>
  <si>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</si>
  <si>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</si>
  <si>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</si>
  <si>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</si>
  <si>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z-Test: Two Sample for Means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</si>
  <si>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</si>
  <si>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</si>
  <si>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</si>
  <si>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</si>
  <si>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</si>
  <si>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</si>
  <si>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</si>
  <si>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</si>
  <si>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</si>
  <si>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</si>
  <si>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</si>
  <si>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</si>
  <si>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</si>
  <si>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</si>
  <si>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</si>
  <si>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</si>
  <si>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</si>
  <si>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</si>
  <si>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</si>
  <si>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</si>
  <si>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</si>
  <si>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</si>
  <si>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Average</t>
  </si>
  <si>
    <t>Column 1</t>
  </si>
  <si>
    <t>Column 2</t>
  </si>
  <si>
    <t>Column 3</t>
  </si>
  <si>
    <t>Column 4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</si>
  <si>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</si>
  <si>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</si>
  <si>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</si>
  <si>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</si>
  <si>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</si>
  <si>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</si>
  <si>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</si>
  <si>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</si>
  <si>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</si>
  <si>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</si>
  <si>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FILLING OF THE MISSING DATA BY TAKING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</si>
</sst>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Times Roman"/>
    </font>
    <font>
      <sz val="12"/>
      <color theme="1"/>
      <name val="Times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F32081-325D-4C35-8DE3-136AF8AEF03C}" autoFormatId="16" applyNumberFormats="0" applyBorderFormats="0" applyFontFormats="0" applyPatternFormats="0" applyAlignmentFormats="0" applyWidthHeightFormats="0">
  <queryTableRefresh nextId="7">
    <queryTableFields count="6">
      <queryTableField id="1" name="REG NO" tableColumnId="1"/>
      <queryTableField id="2" name="NAME" tableColumnId="2"/>
      <queryTableField id="3" name="TAMIL" tableColumnId="3"/>
      <queryTableField id="4" name="ENGLISH" tableColumnId="4"/>
      <queryTableField id="5" name="MATHS" tableColumnId="5"/>
      <queryTableField id="6" name="SCI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81429-5D94-4A8D-B7F2-D2C8E73FB14B}" name="Book1" displayName="Book1" ref="A1:F14" tableType="queryTable" totalsRowShown="0">
  <autoFilter ref="A1:F14" xr:uid="{40781429-5D94-4A8D-B7F2-D2C8E73FB14B}"/>
  <tableColumns count="6">
    <tableColumn id="1" xr3:uid="{F2255199-229C-4B74-85B1-B729B94FB5F3}" uniqueName="1" name="REG NO" queryTableFieldId="1"/>
    <tableColumn id="2" xr3:uid="{AF4C9ABC-D383-4F8B-BE96-778DF2BD0861}" uniqueName="2" name="NAME" queryTableFieldId="2" dataDxfId="0"/>
    <tableColumn id="3" xr3:uid="{B3E149FC-B1E1-4DD8-8B0A-4E6BD1EA6FE6}" uniqueName="3" name="TAMIL" queryTableFieldId="3"/>
    <tableColumn id="4" xr3:uid="{B29D92C7-BC99-47C9-80EE-8B0F3398233A}" uniqueName="4" name="ENGLISH" queryTableFieldId="4"/>
    <tableColumn id="5" xr3:uid="{82099507-D0BF-4FEC-881E-2ABA7A807525}" uniqueName="5" name="MATHS" queryTableFieldId="5"/>
    <tableColumn id="6" xr3:uid="{0CB96A4A-4869-451D-B380-FC0561B6D04B}" uniqueName="6" name="SCIENC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9A60-20DD-4BBC-A325-17CA8EADA6CA}">
  <dimension ref="A4:F15"/>
  <sheetViews>
    <sheetView workbookViewId="0">
      <selection activeCell="A6" sqref="A6"/>
    </sheetView>
  </sheetViews>
  <sheetFormatPr defaultRowHeight="14.4"/>
  <cols>
    <col min="4" max="4" width="12.44140625" bestFit="1" customWidth="1"/>
    <col min="6" max="6" width="12.109375" bestFit="1" customWidth="1"/>
  </cols>
  <sheetData>
    <row r="4" spans="1:6">
      <c r="A4">
        <v>3</v>
      </c>
      <c r="D4" t="s">
        <v>0</v>
      </c>
      <c r="F4" t="s">
        <v>7</v>
      </c>
    </row>
    <row r="5" spans="1:6">
      <c r="A5">
        <v>4</v>
      </c>
      <c r="D5" t="s">
        <v>1</v>
      </c>
      <c r="F5" t="s">
        <v>8</v>
      </c>
    </row>
    <row r="6" spans="1:6">
      <c r="A6">
        <f>SUM(A4,A5)</f>
        <v>7</v>
      </c>
      <c r="D6" t="s">
        <v>2</v>
      </c>
      <c r="F6" t="s">
        <v>9</v>
      </c>
    </row>
    <row r="7" spans="1:6">
      <c r="D7" t="s">
        <v>3</v>
      </c>
      <c r="F7" t="s">
        <v>10</v>
      </c>
    </row>
    <row r="8" spans="1:6">
      <c r="D8" t="s">
        <v>4</v>
      </c>
      <c r="F8" t="s">
        <v>11</v>
      </c>
    </row>
    <row r="9" spans="1:6">
      <c r="D9" t="s">
        <v>5</v>
      </c>
      <c r="F9" t="s">
        <v>12</v>
      </c>
    </row>
    <row r="10" spans="1:6">
      <c r="D10" t="s">
        <v>6</v>
      </c>
      <c r="F10" t="s">
        <v>13</v>
      </c>
    </row>
    <row r="11" spans="1:6">
      <c r="F11" t="s">
        <v>14</v>
      </c>
    </row>
    <row r="12" spans="1:6">
      <c r="F12" t="s">
        <v>15</v>
      </c>
    </row>
    <row r="13" spans="1:6">
      <c r="F13" t="s">
        <v>16</v>
      </c>
    </row>
    <row r="14" spans="1:6">
      <c r="F14" t="s">
        <v>17</v>
      </c>
    </row>
    <row r="15" spans="1:6">
      <c r="F15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C2F3-F27E-4B9D-9DBC-6742162E00CA}">
  <dimension ref="A1:F14"/>
  <sheetViews>
    <sheetView workbookViewId="0">
      <selection sqref="A1:F6"/>
    </sheetView>
  </sheetViews>
  <sheetFormatPr defaultRowHeight="14.4"/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6">
      <c r="A3">
        <v>2</v>
      </c>
      <c r="B3" t="s">
        <v>26</v>
      </c>
      <c r="C3">
        <v>96</v>
      </c>
      <c r="D3">
        <v>94</v>
      </c>
      <c r="E3">
        <v>86</v>
      </c>
      <c r="F3">
        <v>95</v>
      </c>
    </row>
    <row r="4" spans="1:6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6">
      <c r="A5">
        <v>4</v>
      </c>
      <c r="B5" t="s">
        <v>28</v>
      </c>
      <c r="C5">
        <v>91</v>
      </c>
      <c r="D5">
        <v>96</v>
      </c>
      <c r="E5">
        <v>95</v>
      </c>
      <c r="F5">
        <v>95</v>
      </c>
    </row>
    <row r="6" spans="1:6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9" spans="1:6">
      <c r="B9" t="s">
        <v>30</v>
      </c>
      <c r="C9">
        <f>MAX(C2:C6)</f>
        <v>96</v>
      </c>
      <c r="D9">
        <f t="shared" ref="D9:F9" si="0">MAX(D2:D6)</f>
        <v>99</v>
      </c>
      <c r="E9">
        <f t="shared" si="0"/>
        <v>98</v>
      </c>
      <c r="F9">
        <f t="shared" si="0"/>
        <v>97</v>
      </c>
    </row>
    <row r="10" spans="1:6">
      <c r="B10" t="s">
        <v>31</v>
      </c>
      <c r="C10">
        <f>MIN(C2:C6)</f>
        <v>88</v>
      </c>
      <c r="D10">
        <f t="shared" ref="D10:F10" si="1">MIN(D2:D6)</f>
        <v>86</v>
      </c>
      <c r="E10">
        <f t="shared" si="1"/>
        <v>86</v>
      </c>
      <c r="F10">
        <f t="shared" si="1"/>
        <v>89</v>
      </c>
    </row>
    <row r="11" spans="1:6">
      <c r="B11" t="s">
        <v>32</v>
      </c>
      <c r="C11">
        <f>AVERAGE(C2:C6)</f>
        <v>90.8</v>
      </c>
      <c r="D11">
        <f t="shared" ref="D11:F11" si="2">AVERAGE(D2:D6)</f>
        <v>93.8</v>
      </c>
      <c r="E11">
        <f t="shared" si="2"/>
        <v>92</v>
      </c>
      <c r="F11">
        <f t="shared" si="2"/>
        <v>93.4</v>
      </c>
    </row>
    <row r="12" spans="1:6">
      <c r="B12" t="s">
        <v>33</v>
      </c>
      <c r="C12">
        <f>SUM(C2:C6)</f>
        <v>454</v>
      </c>
      <c r="D12">
        <f t="shared" ref="D12:F12" si="3">SUM(D2:D6)</f>
        <v>469</v>
      </c>
      <c r="E12">
        <f t="shared" si="3"/>
        <v>460</v>
      </c>
      <c r="F12">
        <f t="shared" si="3"/>
        <v>467</v>
      </c>
    </row>
    <row r="13" spans="1:6">
      <c r="B13" t="s">
        <v>34</v>
      </c>
      <c r="C13">
        <f>SQRT(C9)</f>
        <v>9.7979589711327115</v>
      </c>
      <c r="D13">
        <f t="shared" ref="D13:F13" si="4">SQRT(D9)</f>
        <v>9.9498743710661994</v>
      </c>
      <c r="E13">
        <f t="shared" si="4"/>
        <v>9.8994949366116654</v>
      </c>
      <c r="F13">
        <f t="shared" si="4"/>
        <v>9.8488578017961039</v>
      </c>
    </row>
    <row r="14" spans="1:6">
      <c r="B14" t="s">
        <v>35</v>
      </c>
      <c r="C14">
        <f>ROUND(C13,1)</f>
        <v>9.8000000000000007</v>
      </c>
      <c r="D14">
        <f t="shared" ref="D14:F14" si="5">ROUND(D13,1)</f>
        <v>9.9</v>
      </c>
      <c r="E14">
        <f t="shared" si="5"/>
        <v>9.9</v>
      </c>
      <c r="F14">
        <f t="shared" si="5"/>
        <v>9.8000000000000007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B14E-6064-4195-9328-E609D3CB7A79}">
  <dimension ref="A1:F14"/>
  <sheetViews>
    <sheetView workbookViewId="0"/>
  </sheetViews>
  <sheetFormatPr defaultRowHeight="14.4"/>
  <cols>
    <col min="1" max="1" width="9.6640625" bestFit="1" customWidth="1"/>
    <col min="2" max="2" width="8.77734375" bestFit="1" customWidth="1"/>
    <col min="3" max="6" width="12" bestFit="1" customWidth="1"/>
  </cols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>
        <v>1</v>
      </c>
      <c r="B2" s="1" t="s">
        <v>25</v>
      </c>
      <c r="C2">
        <v>90</v>
      </c>
      <c r="D2">
        <v>99</v>
      </c>
      <c r="E2">
        <v>98</v>
      </c>
      <c r="F2">
        <v>91</v>
      </c>
    </row>
    <row r="3" spans="1:6">
      <c r="A3">
        <v>2</v>
      </c>
      <c r="B3" s="1" t="s">
        <v>26</v>
      </c>
      <c r="C3">
        <v>96</v>
      </c>
      <c r="D3">
        <v>94</v>
      </c>
      <c r="E3">
        <v>86</v>
      </c>
      <c r="F3">
        <v>95</v>
      </c>
    </row>
    <row r="4" spans="1:6">
      <c r="A4">
        <v>3</v>
      </c>
      <c r="B4" s="1" t="s">
        <v>27</v>
      </c>
      <c r="C4">
        <v>89</v>
      </c>
      <c r="D4">
        <v>86</v>
      </c>
      <c r="E4">
        <v>92</v>
      </c>
      <c r="F4">
        <v>89</v>
      </c>
    </row>
    <row r="5" spans="1:6">
      <c r="A5">
        <v>4</v>
      </c>
      <c r="B5" s="1" t="s">
        <v>28</v>
      </c>
      <c r="C5">
        <v>91</v>
      </c>
      <c r="D5">
        <v>96</v>
      </c>
      <c r="E5">
        <v>95</v>
      </c>
      <c r="F5">
        <v>95</v>
      </c>
    </row>
    <row r="6" spans="1:6">
      <c r="A6">
        <v>5</v>
      </c>
      <c r="B6" s="1" t="s">
        <v>29</v>
      </c>
      <c r="C6">
        <v>88</v>
      </c>
      <c r="D6">
        <v>94</v>
      </c>
      <c r="E6">
        <v>89</v>
      </c>
      <c r="F6">
        <v>97</v>
      </c>
    </row>
    <row r="7" spans="1:6">
      <c r="B7" s="1" t="s">
        <v>36</v>
      </c>
    </row>
    <row r="8" spans="1:6">
      <c r="B8" s="1" t="s">
        <v>36</v>
      </c>
    </row>
    <row r="9" spans="1:6">
      <c r="B9" s="1" t="s">
        <v>30</v>
      </c>
      <c r="C9">
        <v>96</v>
      </c>
      <c r="D9">
        <v>99</v>
      </c>
      <c r="E9">
        <v>98</v>
      </c>
      <c r="F9">
        <v>97</v>
      </c>
    </row>
    <row r="10" spans="1:6">
      <c r="B10" s="1" t="s">
        <v>31</v>
      </c>
      <c r="C10">
        <v>88</v>
      </c>
      <c r="D10">
        <v>86</v>
      </c>
      <c r="E10">
        <v>86</v>
      </c>
      <c r="F10">
        <v>89</v>
      </c>
    </row>
    <row r="11" spans="1:6">
      <c r="B11" s="1" t="s">
        <v>32</v>
      </c>
      <c r="C11">
        <v>90.8</v>
      </c>
      <c r="D11">
        <v>93.8</v>
      </c>
      <c r="E11">
        <v>92</v>
      </c>
      <c r="F11">
        <v>93.4</v>
      </c>
    </row>
    <row r="12" spans="1:6">
      <c r="B12" s="1" t="s">
        <v>33</v>
      </c>
      <c r="C12">
        <v>454</v>
      </c>
      <c r="D12">
        <v>469</v>
      </c>
      <c r="E12">
        <v>460</v>
      </c>
      <c r="F12">
        <v>467</v>
      </c>
    </row>
    <row r="13" spans="1:6">
      <c r="B13" s="1" t="s">
        <v>34</v>
      </c>
      <c r="C13">
        <v>9.7979589709999999</v>
      </c>
      <c r="D13">
        <v>9.9498743709999999</v>
      </c>
      <c r="E13">
        <v>9.899494937</v>
      </c>
      <c r="F13">
        <v>9.8488578019999995</v>
      </c>
    </row>
    <row r="14" spans="1:6">
      <c r="B14" s="1" t="s">
        <v>35</v>
      </c>
      <c r="C14">
        <v>9.8000000000000007</v>
      </c>
      <c r="D14">
        <v>9.9</v>
      </c>
      <c r="E14">
        <v>9.9</v>
      </c>
      <c r="F14">
        <v>9.8000000000000007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6090-676E-41D7-A01F-D424A8803528}">
  <dimension ref="A1:H16"/>
  <sheetViews>
    <sheetView workbookViewId="0">
      <selection sqref="A1:H16"/>
    </sheetView>
  </sheetViews>
  <sheetFormatPr defaultRowHeight="14.4"/>
  <sheetData>
    <row r="1" spans="1:8">
      <c r="A1" s="4" t="s">
        <v>37</v>
      </c>
      <c r="B1" s="4"/>
      <c r="C1" s="4" t="s">
        <v>38</v>
      </c>
      <c r="D1" s="4"/>
      <c r="E1" s="4" t="s">
        <v>39</v>
      </c>
      <c r="F1" s="4"/>
      <c r="G1" s="4" t="s">
        <v>40</v>
      </c>
      <c r="H1" s="4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 t="s">
        <v>41</v>
      </c>
      <c r="B3" s="2">
        <v>90.8</v>
      </c>
      <c r="C3" s="2" t="s">
        <v>41</v>
      </c>
      <c r="D3" s="2">
        <v>93.8</v>
      </c>
      <c r="E3" s="2" t="s">
        <v>41</v>
      </c>
      <c r="F3" s="2">
        <v>92</v>
      </c>
      <c r="G3" s="2" t="s">
        <v>41</v>
      </c>
      <c r="H3" s="2">
        <v>93.4</v>
      </c>
    </row>
    <row r="4" spans="1:8">
      <c r="A4" s="2" t="s">
        <v>42</v>
      </c>
      <c r="B4" s="2">
        <v>1.3928388277184121</v>
      </c>
      <c r="C4" s="2" t="s">
        <v>42</v>
      </c>
      <c r="D4" s="2">
        <v>2.1540659228538015</v>
      </c>
      <c r="E4" s="2" t="s">
        <v>42</v>
      </c>
      <c r="F4" s="2">
        <v>2.1213203435596424</v>
      </c>
      <c r="G4" s="2" t="s">
        <v>42</v>
      </c>
      <c r="H4" s="2">
        <v>1.4696938456699067</v>
      </c>
    </row>
    <row r="5" spans="1:8">
      <c r="A5" s="2" t="s">
        <v>43</v>
      </c>
      <c r="B5" s="2">
        <v>90</v>
      </c>
      <c r="C5" s="2" t="s">
        <v>43</v>
      </c>
      <c r="D5" s="2">
        <v>94</v>
      </c>
      <c r="E5" s="2" t="s">
        <v>43</v>
      </c>
      <c r="F5" s="2">
        <v>92</v>
      </c>
      <c r="G5" s="2" t="s">
        <v>43</v>
      </c>
      <c r="H5" s="2">
        <v>95</v>
      </c>
    </row>
    <row r="6" spans="1:8">
      <c r="A6" s="2" t="s">
        <v>44</v>
      </c>
      <c r="B6" s="2" t="e">
        <v>#N/A</v>
      </c>
      <c r="C6" s="2" t="s">
        <v>44</v>
      </c>
      <c r="D6" s="2">
        <v>94</v>
      </c>
      <c r="E6" s="2" t="s">
        <v>44</v>
      </c>
      <c r="F6" s="2" t="e">
        <v>#N/A</v>
      </c>
      <c r="G6" s="2" t="s">
        <v>44</v>
      </c>
      <c r="H6" s="2">
        <v>95</v>
      </c>
    </row>
    <row r="7" spans="1:8">
      <c r="A7" s="2" t="s">
        <v>45</v>
      </c>
      <c r="B7" s="2">
        <v>3.1144823004794877</v>
      </c>
      <c r="C7" s="2" t="s">
        <v>45</v>
      </c>
      <c r="D7" s="2">
        <v>4.8166378315169185</v>
      </c>
      <c r="E7" s="2" t="s">
        <v>45</v>
      </c>
      <c r="F7" s="2">
        <v>4.7434164902525691</v>
      </c>
      <c r="G7" s="2" t="s">
        <v>45</v>
      </c>
      <c r="H7" s="2">
        <v>3.2863353450309964</v>
      </c>
    </row>
    <row r="8" spans="1:8">
      <c r="A8" s="2" t="s">
        <v>46</v>
      </c>
      <c r="B8" s="2">
        <v>9.7000000000000011</v>
      </c>
      <c r="C8" s="2" t="s">
        <v>46</v>
      </c>
      <c r="D8" s="2">
        <v>23.200000000000003</v>
      </c>
      <c r="E8" s="2" t="s">
        <v>46</v>
      </c>
      <c r="F8" s="2">
        <v>22.5</v>
      </c>
      <c r="G8" s="2" t="s">
        <v>46</v>
      </c>
      <c r="H8" s="2">
        <v>10.799999999999999</v>
      </c>
    </row>
    <row r="9" spans="1:8">
      <c r="A9" s="2" t="s">
        <v>47</v>
      </c>
      <c r="B9" s="2">
        <v>2.6750983101286163</v>
      </c>
      <c r="C9" s="2" t="s">
        <v>47</v>
      </c>
      <c r="D9" s="2">
        <v>2.3487663495838174</v>
      </c>
      <c r="E9" s="2" t="s">
        <v>47</v>
      </c>
      <c r="F9" s="2">
        <v>-1.1999999999999984</v>
      </c>
      <c r="G9" s="2" t="s">
        <v>47</v>
      </c>
      <c r="H9" s="2">
        <v>-1.6872427983538971</v>
      </c>
    </row>
    <row r="10" spans="1:8">
      <c r="A10" s="2" t="s">
        <v>48</v>
      </c>
      <c r="B10" s="2">
        <v>1.5491313812566738</v>
      </c>
      <c r="C10" s="2" t="s">
        <v>48</v>
      </c>
      <c r="D10" s="2">
        <v>-1.2054122991701233</v>
      </c>
      <c r="E10" s="2" t="s">
        <v>48</v>
      </c>
      <c r="F10" s="2">
        <v>0</v>
      </c>
      <c r="G10" s="2" t="s">
        <v>48</v>
      </c>
      <c r="H10" s="2">
        <v>-0.51842052767979563</v>
      </c>
    </row>
    <row r="11" spans="1:8">
      <c r="A11" s="2" t="s">
        <v>49</v>
      </c>
      <c r="B11" s="2">
        <v>8</v>
      </c>
      <c r="C11" s="2" t="s">
        <v>49</v>
      </c>
      <c r="D11" s="2">
        <v>13</v>
      </c>
      <c r="E11" s="2" t="s">
        <v>49</v>
      </c>
      <c r="F11" s="2">
        <v>12</v>
      </c>
      <c r="G11" s="2" t="s">
        <v>49</v>
      </c>
      <c r="H11" s="2">
        <v>8</v>
      </c>
    </row>
    <row r="12" spans="1:8">
      <c r="A12" s="2" t="s">
        <v>50</v>
      </c>
      <c r="B12" s="2">
        <v>88</v>
      </c>
      <c r="C12" s="2" t="s">
        <v>50</v>
      </c>
      <c r="D12" s="2">
        <v>86</v>
      </c>
      <c r="E12" s="2" t="s">
        <v>50</v>
      </c>
      <c r="F12" s="2">
        <v>86</v>
      </c>
      <c r="G12" s="2" t="s">
        <v>50</v>
      </c>
      <c r="H12" s="2">
        <v>89</v>
      </c>
    </row>
    <row r="13" spans="1:8">
      <c r="A13" s="2" t="s">
        <v>51</v>
      </c>
      <c r="B13" s="2">
        <v>96</v>
      </c>
      <c r="C13" s="2" t="s">
        <v>51</v>
      </c>
      <c r="D13" s="2">
        <v>99</v>
      </c>
      <c r="E13" s="2" t="s">
        <v>51</v>
      </c>
      <c r="F13" s="2">
        <v>98</v>
      </c>
      <c r="G13" s="2" t="s">
        <v>51</v>
      </c>
      <c r="H13" s="2">
        <v>97</v>
      </c>
    </row>
    <row r="14" spans="1:8">
      <c r="A14" s="2" t="s">
        <v>52</v>
      </c>
      <c r="B14" s="2">
        <v>454</v>
      </c>
      <c r="C14" s="2" t="s">
        <v>52</v>
      </c>
      <c r="D14" s="2">
        <v>469</v>
      </c>
      <c r="E14" s="2" t="s">
        <v>52</v>
      </c>
      <c r="F14" s="2">
        <v>460</v>
      </c>
      <c r="G14" s="2" t="s">
        <v>52</v>
      </c>
      <c r="H14" s="2">
        <v>467</v>
      </c>
    </row>
    <row r="15" spans="1:8">
      <c r="A15" s="2" t="s">
        <v>53</v>
      </c>
      <c r="B15" s="2">
        <v>5</v>
      </c>
      <c r="C15" s="2" t="s">
        <v>53</v>
      </c>
      <c r="D15" s="2">
        <v>5</v>
      </c>
      <c r="E15" s="2" t="s">
        <v>53</v>
      </c>
      <c r="F15" s="2">
        <v>5</v>
      </c>
      <c r="G15" s="2" t="s">
        <v>53</v>
      </c>
      <c r="H15" s="2">
        <v>5</v>
      </c>
    </row>
    <row r="16" spans="1:8" ht="15" thickBot="1">
      <c r="A16" s="3" t="s">
        <v>54</v>
      </c>
      <c r="B16" s="3">
        <v>3.8671405455482173</v>
      </c>
      <c r="C16" s="3" t="s">
        <v>54</v>
      </c>
      <c r="D16" s="3">
        <v>5.9806457877808041</v>
      </c>
      <c r="E16" s="3" t="s">
        <v>54</v>
      </c>
      <c r="F16" s="3">
        <v>5.88972948443267</v>
      </c>
      <c r="G16" s="3" t="s">
        <v>54</v>
      </c>
      <c r="H16" s="3">
        <v>4.0805242839495328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0A18-8377-4A41-B840-F76F72A671A5}">
  <dimension ref="A1:C12"/>
  <sheetViews>
    <sheetView workbookViewId="0">
      <selection sqref="A1:C12"/>
    </sheetView>
  </sheetViews>
  <sheetFormatPr defaultRowHeight="14.4"/>
  <sheetData>
    <row r="1" spans="1:3">
      <c r="A1" t="s">
        <v>55</v>
      </c>
    </row>
    <row r="2" spans="1:3" ht="15" thickBot="1"/>
    <row r="3" spans="1:3">
      <c r="A3" s="4"/>
      <c r="B3" s="4" t="s">
        <v>56</v>
      </c>
      <c r="C3" s="4" t="s">
        <v>57</v>
      </c>
    </row>
    <row r="4" spans="1:3">
      <c r="A4" s="2" t="s">
        <v>41</v>
      </c>
      <c r="B4" s="2">
        <v>90.8</v>
      </c>
      <c r="C4" s="2">
        <v>93.4</v>
      </c>
    </row>
    <row r="5" spans="1:3">
      <c r="A5" s="2" t="s">
        <v>58</v>
      </c>
      <c r="B5" s="2">
        <v>0.5</v>
      </c>
      <c r="C5" s="2">
        <v>0.5</v>
      </c>
    </row>
    <row r="6" spans="1:3">
      <c r="A6" s="2" t="s">
        <v>59</v>
      </c>
      <c r="B6" s="2">
        <v>5</v>
      </c>
      <c r="C6" s="2">
        <v>5</v>
      </c>
    </row>
    <row r="7" spans="1:3">
      <c r="A7" s="2" t="s">
        <v>60</v>
      </c>
      <c r="B7" s="2">
        <v>0</v>
      </c>
      <c r="C7" s="2"/>
    </row>
    <row r="8" spans="1:3">
      <c r="A8" s="2" t="s">
        <v>61</v>
      </c>
      <c r="B8" s="2">
        <v>-5.8137767414994723</v>
      </c>
      <c r="C8" s="2"/>
    </row>
    <row r="9" spans="1:3">
      <c r="A9" s="2" t="s">
        <v>62</v>
      </c>
      <c r="B9" s="2">
        <v>3.0539432094300878E-9</v>
      </c>
      <c r="C9" s="2"/>
    </row>
    <row r="10" spans="1:3">
      <c r="A10" s="2" t="s">
        <v>63</v>
      </c>
      <c r="B10" s="2">
        <v>1.6448536269514715</v>
      </c>
      <c r="C10" s="2"/>
    </row>
    <row r="11" spans="1:3">
      <c r="A11" s="2" t="s">
        <v>64</v>
      </c>
      <c r="B11" s="2">
        <v>6.1078864188601756E-9</v>
      </c>
      <c r="C11" s="2"/>
    </row>
    <row r="12" spans="1:3" ht="15" thickBot="1">
      <c r="A12" s="3" t="s">
        <v>65</v>
      </c>
      <c r="B12" s="3">
        <v>1.9599639845400536</v>
      </c>
      <c r="C1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73A8-9B8E-4FD9-8F35-1DB3551F6D07}">
  <dimension ref="A1:C14"/>
  <sheetViews>
    <sheetView workbookViewId="0">
      <selection sqref="A1:C14"/>
    </sheetView>
  </sheetViews>
  <sheetFormatPr defaultRowHeight="14.4"/>
  <sheetData>
    <row r="1" spans="1:3">
      <c r="A1" t="s">
        <v>66</v>
      </c>
    </row>
    <row r="2" spans="1:3" ht="15" thickBot="1"/>
    <row r="3" spans="1:3">
      <c r="A3" s="4"/>
      <c r="B3" s="4" t="s">
        <v>56</v>
      </c>
      <c r="C3" s="4" t="s">
        <v>57</v>
      </c>
    </row>
    <row r="4" spans="1:3">
      <c r="A4" s="2" t="s">
        <v>41</v>
      </c>
      <c r="B4" s="2">
        <v>90.8</v>
      </c>
      <c r="C4" s="2">
        <v>93.4</v>
      </c>
    </row>
    <row r="5" spans="1:3">
      <c r="A5" s="2" t="s">
        <v>67</v>
      </c>
      <c r="B5" s="2">
        <v>9.7000000000000011</v>
      </c>
      <c r="C5" s="2">
        <v>10.799999999999999</v>
      </c>
    </row>
    <row r="6" spans="1:3">
      <c r="A6" s="2" t="s">
        <v>59</v>
      </c>
      <c r="B6" s="2">
        <v>5</v>
      </c>
      <c r="C6" s="2">
        <v>5</v>
      </c>
    </row>
    <row r="7" spans="1:3">
      <c r="A7" s="2" t="s">
        <v>68</v>
      </c>
      <c r="B7" s="2">
        <v>0.20517363361619229</v>
      </c>
      <c r="C7" s="2"/>
    </row>
    <row r="8" spans="1:3">
      <c r="A8" s="2" t="s">
        <v>60</v>
      </c>
      <c r="B8" s="2">
        <v>0</v>
      </c>
      <c r="C8" s="2"/>
    </row>
    <row r="9" spans="1:3">
      <c r="A9" s="2" t="s">
        <v>69</v>
      </c>
      <c r="B9" s="2">
        <v>4</v>
      </c>
      <c r="C9" s="2"/>
    </row>
    <row r="10" spans="1:3">
      <c r="A10" s="2" t="s">
        <v>70</v>
      </c>
      <c r="B10" s="2">
        <v>-1.4400068166164497</v>
      </c>
      <c r="C10" s="2"/>
    </row>
    <row r="11" spans="1:3">
      <c r="A11" s="2" t="s">
        <v>71</v>
      </c>
      <c r="B11" s="2">
        <v>0.1116427189555169</v>
      </c>
      <c r="C11" s="2"/>
    </row>
    <row r="12" spans="1:3">
      <c r="A12" s="2" t="s">
        <v>72</v>
      </c>
      <c r="B12" s="2">
        <v>2.1318467863266499</v>
      </c>
      <c r="C12" s="2"/>
    </row>
    <row r="13" spans="1:3">
      <c r="A13" s="2" t="s">
        <v>73</v>
      </c>
      <c r="B13" s="2">
        <v>0.22328543791103381</v>
      </c>
      <c r="C13" s="2"/>
    </row>
    <row r="14" spans="1:3" ht="15" thickBot="1">
      <c r="A14" s="3" t="s">
        <v>74</v>
      </c>
      <c r="B14" s="3">
        <v>2.7764451051977934</v>
      </c>
      <c r="C1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36F0-76AF-4801-B1B5-BF5D5C24FC7B}">
  <dimension ref="A1:G16"/>
  <sheetViews>
    <sheetView workbookViewId="0">
      <selection activeCell="H16" sqref="H16"/>
    </sheetView>
  </sheetViews>
  <sheetFormatPr defaultRowHeight="14.4"/>
  <sheetData>
    <row r="1" spans="1:7">
      <c r="A1" t="s">
        <v>75</v>
      </c>
    </row>
    <row r="3" spans="1:7" ht="15" thickBot="1">
      <c r="A3" t="s">
        <v>76</v>
      </c>
    </row>
    <row r="4" spans="1:7">
      <c r="A4" s="4" t="s">
        <v>77</v>
      </c>
      <c r="B4" s="4" t="s">
        <v>53</v>
      </c>
      <c r="C4" s="4" t="s">
        <v>52</v>
      </c>
      <c r="D4" s="4" t="s">
        <v>78</v>
      </c>
      <c r="E4" s="4" t="s">
        <v>67</v>
      </c>
    </row>
    <row r="5" spans="1:7">
      <c r="A5" s="2" t="s">
        <v>79</v>
      </c>
      <c r="B5" s="2">
        <v>5</v>
      </c>
      <c r="C5" s="2">
        <v>454</v>
      </c>
      <c r="D5" s="2">
        <v>90.8</v>
      </c>
      <c r="E5" s="2">
        <v>9.7000000000000011</v>
      </c>
    </row>
    <row r="6" spans="1:7">
      <c r="A6" s="2" t="s">
        <v>80</v>
      </c>
      <c r="B6" s="2">
        <v>5</v>
      </c>
      <c r="C6" s="2">
        <v>469</v>
      </c>
      <c r="D6" s="2">
        <v>93.8</v>
      </c>
      <c r="E6" s="2">
        <v>23.200000000000003</v>
      </c>
    </row>
    <row r="7" spans="1:7">
      <c r="A7" s="2" t="s">
        <v>81</v>
      </c>
      <c r="B7" s="2">
        <v>5</v>
      </c>
      <c r="C7" s="2">
        <v>460</v>
      </c>
      <c r="D7" s="2">
        <v>92</v>
      </c>
      <c r="E7" s="2">
        <v>22.5</v>
      </c>
    </row>
    <row r="8" spans="1:7" ht="15" thickBot="1">
      <c r="A8" s="3" t="s">
        <v>82</v>
      </c>
      <c r="B8" s="3">
        <v>5</v>
      </c>
      <c r="C8" s="3">
        <v>467</v>
      </c>
      <c r="D8" s="3">
        <v>93.4</v>
      </c>
      <c r="E8" s="3">
        <v>10.799999999999999</v>
      </c>
    </row>
    <row r="11" spans="1:7" ht="15" thickBot="1">
      <c r="A11" t="s">
        <v>83</v>
      </c>
    </row>
    <row r="12" spans="1:7">
      <c r="A12" s="4" t="s">
        <v>84</v>
      </c>
      <c r="B12" s="4" t="s">
        <v>85</v>
      </c>
      <c r="C12" s="4" t="s">
        <v>69</v>
      </c>
      <c r="D12" s="4" t="s">
        <v>86</v>
      </c>
      <c r="E12" s="4" t="s">
        <v>87</v>
      </c>
      <c r="F12" s="4" t="s">
        <v>88</v>
      </c>
      <c r="G12" s="4" t="s">
        <v>89</v>
      </c>
    </row>
    <row r="13" spans="1:7">
      <c r="A13" s="2" t="s">
        <v>90</v>
      </c>
      <c r="B13" s="2">
        <v>28.199999999999989</v>
      </c>
      <c r="C13" s="2">
        <v>3</v>
      </c>
      <c r="D13" s="2">
        <v>9.3999999999999968</v>
      </c>
      <c r="E13" s="2">
        <v>0.56797583081570979</v>
      </c>
      <c r="F13" s="2">
        <v>0.6440578971223756</v>
      </c>
      <c r="G13" s="2">
        <v>3.2388715174535854</v>
      </c>
    </row>
    <row r="14" spans="1:7">
      <c r="A14" s="2" t="s">
        <v>91</v>
      </c>
      <c r="B14" s="2">
        <v>264.8</v>
      </c>
      <c r="C14" s="2">
        <v>16</v>
      </c>
      <c r="D14" s="2">
        <v>16.55</v>
      </c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 ht="15" thickBot="1">
      <c r="A16" s="3" t="s">
        <v>92</v>
      </c>
      <c r="B16" s="3">
        <v>293</v>
      </c>
      <c r="C16" s="3">
        <v>19</v>
      </c>
      <c r="D16" s="3"/>
      <c r="E16" s="3"/>
      <c r="F16" s="3"/>
      <c r="G1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04D8-F3C8-4393-A874-8C3EA62D11D7}">
  <dimension ref="A1:G17"/>
  <sheetViews>
    <sheetView tabSelected="1" workbookViewId="0">
      <selection activeCell="K26" sqref="K26"/>
    </sheetView>
  </sheetViews>
  <sheetFormatPr defaultRowHeight="14.4"/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7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7">
      <c r="A3">
        <v>2</v>
      </c>
      <c r="B3" t="s">
        <v>26</v>
      </c>
      <c r="C3">
        <v>96</v>
      </c>
      <c r="D3">
        <v>94</v>
      </c>
      <c r="F3">
        <v>95</v>
      </c>
    </row>
    <row r="4" spans="1:7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7">
      <c r="A5">
        <v>4</v>
      </c>
      <c r="B5" t="s">
        <v>28</v>
      </c>
      <c r="C5">
        <v>91</v>
      </c>
      <c r="D5">
        <v>96</v>
      </c>
      <c r="E5">
        <v>95</v>
      </c>
    </row>
    <row r="6" spans="1:7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12" spans="1:7" ht="15.6">
      <c r="F12" s="5" t="s">
        <v>93</v>
      </c>
    </row>
    <row r="13" spans="1:7" ht="15.6">
      <c r="F13" s="6">
        <f t="array" ref="F13:G17">_xll.MissingDataFill('EXP 5'!$E$2:$F$6, 0)</f>
        <v>98</v>
      </c>
      <c r="G13" s="6">
        <v>91</v>
      </c>
    </row>
    <row r="14" spans="1:7" ht="15.6">
      <c r="F14" s="6">
        <v>93.5</v>
      </c>
      <c r="G14" s="6">
        <v>95</v>
      </c>
    </row>
    <row r="15" spans="1:7" ht="15.6">
      <c r="F15" s="6">
        <v>92</v>
      </c>
      <c r="G15" s="6">
        <v>89</v>
      </c>
    </row>
    <row r="16" spans="1:7" ht="15.6">
      <c r="F16" s="6">
        <v>95</v>
      </c>
      <c r="G16" s="6">
        <v>93</v>
      </c>
    </row>
    <row r="17" spans="6:7" ht="15.6">
      <c r="F17" s="6">
        <v>89</v>
      </c>
      <c r="G17" s="6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E981E-6FEA-4A5D-8D89-FBD97F5675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 1</vt:lpstr>
      <vt:lpstr>EXP 2A</vt:lpstr>
      <vt:lpstr>EXP 2B</vt:lpstr>
      <vt:lpstr>EXP 3</vt:lpstr>
      <vt:lpstr>EXP 4A</vt:lpstr>
      <vt:lpstr>EXP 4B</vt:lpstr>
      <vt:lpstr>EXP 4C</vt:lpstr>
      <vt:lpstr>EXP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2026-07-09T14:33:38Z</dcterms:created>
  <dcterms:modified xsi:type="dcterms:W3CDTF">2026-07-09T15:24:30Z</dcterms:modified>
</cp:coreProperties>
</file>