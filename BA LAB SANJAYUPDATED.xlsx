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OJECTS\BA_LAB\"/>
    </mc:Choice>
  </mc:AlternateContent>
  <xr:revisionPtr revIDLastSave="0" documentId="8_{3B0B7878-CE2F-4A47-AEAD-E3EBAFC37EA8}" xr6:coauthVersionLast="47" xr6:coauthVersionMax="47" xr10:uidLastSave="{00000000-0000-0000-0000-000000000000}"/>
  <bookViews>
    <workbookView xWindow="-108" yWindow="-108" windowWidth="23256" windowHeight="14616" activeTab="12" xr2:uid="{0A5E8E82-E379-44C7-9103-21A1C36FE299}"/>
  </bookViews>
  <sheets>
    <sheet name="EXP 1" sheetId="1" r:id="rId1"/>
    <sheet name="XLSTAT_20260730_142043_1_HID1" sheetId="11" state="hidden" r:id="rId2"/>
    <sheet name="XLSTAT_20260730_142043_1_HID" sheetId="10" state="hidden" r:id="rId3"/>
    <sheet name="EXP 2A" sheetId="2" r:id="rId4"/>
    <sheet name="EXP 2B" sheetId="3" r:id="rId5"/>
    <sheet name="EXP 3" sheetId="4" r:id="rId6"/>
    <sheet name="EXP 4A" sheetId="5" r:id="rId7"/>
    <sheet name="EXP 4B" sheetId="6" r:id="rId8"/>
    <sheet name="EXP 4C" sheetId="7" r:id="rId9"/>
    <sheet name="EXP 5" sheetId="8" r:id="rId10"/>
    <sheet name="EXP 6" sheetId="9" r:id="rId11"/>
    <sheet name="EXP 7A" sheetId="12" r:id="rId12"/>
    <sheet name="EXP 7B" sheetId="13" r:id="rId13"/>
  </sheets>
  <externalReferences>
    <externalReference r:id="rId14"/>
  </externalReferences>
  <definedNames>
    <definedName name="ExternalData_1" localSheetId="4" hidden="1">'EXP 2B'!$A$1:$F$14</definedName>
    <definedName name="tab20260730_142043_RunProcPCA_1_2982" localSheetId="10" hidden="1">'EXP 6'!$B$81:$E$85</definedName>
    <definedName name="tab20260730_142043_RunProcPCA_1_2983" localSheetId="10" hidden="1">'EXP 6'!$B$152:$E$156</definedName>
    <definedName name="tab20260730_142043_RunProcPCA_1_2984" localSheetId="10" hidden="1">'EXP 6'!$B$90:$E$94</definedName>
    <definedName name="tab20260730_142043_RunProcPCA_1_75" localSheetId="10" hidden="1">'EXP 6'!$B$63:$E$67</definedName>
    <definedName name="tab20260730_142043_RunProcPCA_1_76" localSheetId="10" hidden="1">'EXP 6'!$B$100:$E$104</definedName>
    <definedName name="tab20260730_142043_RunProcPCA_1_86" localSheetId="10" hidden="1">'EXP 6'!$B$72:$E$76</definedName>
    <definedName name="tab20260730_142043_RunProcPCA_2_76" localSheetId="10" hidden="1">'EXP 6'!$B$189:$E$193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8" l="1" a="1"/>
  <c r="G17" i="8" l="1"/>
  <c r="F13" i="8"/>
  <c r="G13" i="8"/>
  <c r="F14" i="8"/>
  <c r="G14" i="8"/>
  <c r="F15" i="8"/>
  <c r="G15" i="8"/>
  <c r="F16" i="8"/>
  <c r="G16" i="8"/>
  <c r="F17" i="8"/>
  <c r="E13" i="2" l="1"/>
  <c r="E14" i="2" s="1"/>
  <c r="C13" i="2"/>
  <c r="C14" i="2" s="1"/>
  <c r="D12" i="2"/>
  <c r="E12" i="2"/>
  <c r="F12" i="2"/>
  <c r="C12" i="2"/>
  <c r="D11" i="2"/>
  <c r="E11" i="2"/>
  <c r="F11" i="2"/>
  <c r="C11" i="2"/>
  <c r="D10" i="2"/>
  <c r="E10" i="2"/>
  <c r="F10" i="2"/>
  <c r="C10" i="2"/>
  <c r="D9" i="2"/>
  <c r="D13" i="2" s="1"/>
  <c r="D14" i="2" s="1"/>
  <c r="E9" i="2"/>
  <c r="F9" i="2"/>
  <c r="F13" i="2" s="1"/>
  <c r="F14" i="2" s="1"/>
  <c r="C9" i="2"/>
  <c r="A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204912-998B-41E8-A701-20D03B19717D}" keepAlive="1" name="Query - Book1" description="Connection to the 'Book1' query in the workbook." type="5" refreshedVersion="8" background="1" saveData="1">
    <dbPr connection="Provider=Microsoft.Mashup.OleDb.1;Data Source=$Workbook$;Location=Book1;Extended Properties=&quot;&quot;" command="SELECT * FROM [Book1]"/>
  </connection>
</connections>
</file>

<file path=xl/sharedStrings.xml><?xml version="1.0" encoding="utf-8"?>
<sst xmlns="http://schemas.openxmlformats.org/spreadsheetml/2006/main" count="394" uniqueCount="135">
  <si>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</si>
  <si>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</si>
  <si>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</si>
  <si>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</si>
  <si>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</si>
  <si>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</si>
  <si>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</si>
  <si>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</si>
  <si>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</si>
  <si>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</si>
  <si>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</si>
  <si>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</si>
  <si>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</si>
  <si>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</si>
  <si>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</si>
  <si>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</si>
  <si>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</si>
  <si>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</si>
  <si>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</si>
  <si>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 NO</t>
  </si>
  <si>
    <t>NAME</t>
  </si>
  <si>
    <t>TAMIL</t>
  </si>
  <si>
    <t>ENGLISH</t>
  </si>
  <si>
    <t>MATHS</t>
  </si>
  <si>
    <t>SCIENCE</t>
  </si>
  <si>
    <t>SAM</t>
  </si>
  <si>
    <t>MAS</t>
  </si>
  <si>
    <t>LOS</t>
  </si>
  <si>
    <t>SOL</t>
  </si>
  <si>
    <t>PAM</t>
  </si>
  <si>
    <t>MAX</t>
  </si>
  <si>
    <t>MIN</t>
  </si>
  <si>
    <t>AVERAGE</t>
  </si>
  <si>
    <t>SUM</t>
  </si>
  <si>
    <t>SQRT</t>
  </si>
  <si>
    <t>ROUND</t>
  </si>
  <si>
    <t/>
  </si>
  <si>
    <t>Column1</t>
  </si>
  <si>
    <t>Column2</t>
  </si>
  <si>
    <t>Column3</t>
  </si>
  <si>
    <t>Column4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</si>
  <si>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</si>
  <si>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</si>
  <si>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</si>
  <si>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</si>
  <si>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</si>
  <si>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</si>
  <si>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</si>
  <si>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</si>
  <si>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</si>
  <si>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</si>
  <si>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</si>
  <si>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</si>
  <si>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</si>
  <si>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</si>
  <si>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z-Test: Two Sample for Means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</si>
  <si>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</si>
  <si>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</si>
  <si>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</si>
  <si>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</si>
  <si>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</si>
  <si>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</si>
  <si>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</si>
  <si>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</si>
  <si>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</si>
  <si>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</si>
  <si>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t-Test: Paired Two Sample for Means</t>
  </si>
  <si>
    <t>Variance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</si>
  <si>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</si>
  <si>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</si>
  <si>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</si>
  <si>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</si>
  <si>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</si>
  <si>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</si>
  <si>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</si>
  <si>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</si>
  <si>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</si>
  <si>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</si>
  <si>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Average</t>
  </si>
  <si>
    <t>Column 1</t>
  </si>
  <si>
    <t>Column 2</t>
  </si>
  <si>
    <t>Column 3</t>
  </si>
  <si>
    <t>Column 4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</si>
  <si>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</si>
  <si>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</si>
  <si>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</si>
  <si>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</si>
  <si>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</si>
  <si>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</si>
  <si>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</si>
  <si>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</si>
  <si>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</si>
  <si>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</si>
  <si>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FILLING OF THE MISSING DATA BY TAKING AVERAGE</t>
  </si>
  <si>
    <t>You are using the XLSTAT trial version. Number of days remaining until the trial expires: 15</t>
  </si>
  <si>
    <t>Observations/variables table: Workbook = BA LAB SANJAY.xlsx / Sheet = EXP 2A / Range = 'EXP 2A'!$C$2:$F$6 / 4 rows and 4 columns</t>
  </si>
  <si>
    <t>PCA type: Correlation</t>
  </si>
  <si>
    <t>Filter factors: Maximum number = 5</t>
  </si>
  <si>
    <t>Standardisation: (n)</t>
  </si>
  <si>
    <t>Type of biplot: Distance biplot / Coefficient = Automatic</t>
  </si>
  <si>
    <t>Summary statistics:</t>
  </si>
  <si>
    <t>Variable</t>
  </si>
  <si>
    <t>Obs. with missing data</t>
  </si>
  <si>
    <t>Obs. without missing data</t>
  </si>
  <si>
    <t>Std. deviation</t>
  </si>
  <si>
    <t>90</t>
  </si>
  <si>
    <t>99</t>
  </si>
  <si>
    <t>98</t>
  </si>
  <si>
    <t>91</t>
  </si>
  <si>
    <t>Principal Component Analysis:</t>
  </si>
  <si>
    <t>Eigenvalues:</t>
  </si>
  <si>
    <t>F1</t>
  </si>
  <si>
    <t>F2</t>
  </si>
  <si>
    <t>F3</t>
  </si>
  <si>
    <t>Eigenvalue</t>
  </si>
  <si>
    <t>Variability (%)</t>
  </si>
  <si>
    <t>Cumulative %</t>
  </si>
  <si>
    <t xml:space="preserve"> </t>
  </si>
  <si>
    <t>Eigenvectors:</t>
  </si>
  <si>
    <t>Factor loadings:</t>
  </si>
  <si>
    <t>Correlations between variables and factors:</t>
  </si>
  <si>
    <t>Contribution of the variables (%):</t>
  </si>
  <si>
    <t>Squared cosines of the variables:</t>
  </si>
  <si>
    <t>Values in bold correspond for each variable to the factor for which the squared cosine is the largest</t>
  </si>
  <si>
    <t>Factor scores:</t>
  </si>
  <si>
    <t>Obs1</t>
  </si>
  <si>
    <t>Obs2</t>
  </si>
  <si>
    <t>Obs3</t>
  </si>
  <si>
    <t>Obs4</t>
  </si>
  <si>
    <t>Contribution of the observations (%):</t>
  </si>
  <si>
    <t>Axes homogeneity index:</t>
  </si>
  <si>
    <t>Value</t>
  </si>
  <si>
    <t>Squared cosines of the observations:</t>
  </si>
  <si>
    <t>Values in bold correspond for each observation to the factor for which the squared cosine is the largest</t>
  </si>
  <si>
    <r>
      <t>XLSTAT 2026.1.2.1435 - Principal Component Analysis (PCA) - Start time: 30/07/2026 at 14:21:29 / End time: 30/07/2026 at 14:21:43</t>
    </r>
    <r>
      <rPr>
        <sz val="11"/>
        <color rgb="FFFFFFFF"/>
        <rFont val="Aptos Narrow"/>
        <family val="2"/>
        <scheme val="minor"/>
      </rPr>
      <t xml:space="preserve"> / Microsoft Excel 16.020228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</si>
</sst>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Times Roman"/>
    </font>
    <font>
      <sz val="12"/>
      <color theme="1"/>
      <name val="Times Roman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1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521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vertical="center"/>
    </xf>
    <xf numFmtId="0" fontId="5" fillId="0" borderId="0" xfId="0" applyFont="1"/>
    <xf numFmtId="49" fontId="0" fillId="0" borderId="0" xfId="0" applyNumberFormat="1"/>
    <xf numFmtId="49" fontId="8" fillId="0" borderId="0" xfId="0" applyNumberFormat="1" applyFont="1"/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8" fillId="0" borderId="4" xfId="0" applyNumberFormat="1" applyFont="1" applyBorder="1"/>
    <xf numFmtId="49" fontId="8" fillId="0" borderId="1" xfId="0" applyNumberFormat="1" applyFont="1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/>
    <xf numFmtId="49" fontId="0" fillId="0" borderId="1" xfId="0" applyNumberFormat="1" applyBorder="1"/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7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Scree plot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'EXP 6'!$C$26:$E$26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'EXP 6'!$C$27:$E$27</c:f>
              <c:numCache>
                <c:formatCode>0.000</c:formatCode>
                <c:ptCount val="3"/>
                <c:pt idx="0">
                  <c:v>2.1851912817955679</c:v>
                </c:pt>
                <c:pt idx="1">
                  <c:v>1.2394711367991564</c:v>
                </c:pt>
                <c:pt idx="2">
                  <c:v>0.5753375814052768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6-48B8-B969-CC09D007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86537568"/>
        <c:axId val="2083717104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cat>
            <c:strRef>
              <c:f>'EXP 6'!$C$26:$E$26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'EXP 6'!$C$29:$E$29</c:f>
              <c:numCache>
                <c:formatCode>0.000</c:formatCode>
                <c:ptCount val="3"/>
                <c:pt idx="0">
                  <c:v>54.62978204488919</c:v>
                </c:pt>
                <c:pt idx="1">
                  <c:v>85.616560464868087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6-48B8-B969-CC09D007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532464"/>
        <c:axId val="2083709424"/>
      </c:lineChart>
      <c:catAx>
        <c:axId val="886537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axis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083717104"/>
        <c:crosses val="autoZero"/>
        <c:auto val="1"/>
        <c:lblAlgn val="ctr"/>
        <c:lblOffset val="100"/>
        <c:noMultiLvlLbl val="0"/>
      </c:catAx>
      <c:valAx>
        <c:axId val="208371710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Eigenvalue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86537568"/>
        <c:crosses val="autoZero"/>
        <c:crossBetween val="between"/>
      </c:valAx>
      <c:valAx>
        <c:axId val="2083709424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Cumulative variability (%)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86532464"/>
        <c:crosses val="max"/>
        <c:crossBetween val="between"/>
        <c:majorUnit val="20"/>
      </c:valAx>
      <c:catAx>
        <c:axId val="88653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3709424"/>
        <c:crosses val="autoZero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Observations (axes F1 and F2: 85.62 %)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observations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3AB-4234-9A81-98A60469A938}"/>
                </c:ext>
              </c:extLst>
            </c:dLbl>
            <c:dLbl>
              <c:idx val="1"/>
              <c:layout>
                <c:manualLayout>
                  <c:x val="-8.6527777777777773E-2"/>
                  <c:y val="1.73611111111110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3AB-4234-9A81-98A60469A938}"/>
                </c:ext>
              </c:extLst>
            </c:dLbl>
            <c:dLbl>
              <c:idx val="2"/>
              <c:layout>
                <c:manualLayout>
                  <c:x val="-1.7361111111111112E-2"/>
                  <c:y val="-3.08641975308642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3AB-4234-9A81-98A60469A938}"/>
                </c:ext>
              </c:extLst>
            </c:dLbl>
            <c:dLbl>
              <c:idx val="3"/>
              <c:layout>
                <c:manualLayout>
                  <c:x val="-1.7361111111111174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3AB-4234-9A81-98A60469A9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XLSTAT_20260730_142043_1_HID!$A$1:$A$4</c:f>
              <c:numCache>
                <c:formatCode>General</c:formatCode>
                <c:ptCount val="4"/>
                <c:pt idx="0">
                  <c:v>1.5587157674606946</c:v>
                </c:pt>
                <c:pt idx="1">
                  <c:v>-2.4251398997893272</c:v>
                </c:pt>
                <c:pt idx="2">
                  <c:v>0.26810397829338883</c:v>
                </c:pt>
                <c:pt idx="3">
                  <c:v>0.59832015403524419</c:v>
                </c:pt>
              </c:numCache>
            </c:numRef>
          </c:xVal>
          <c:yVal>
            <c:numRef>
              <c:f>XLSTAT_20260730_142043_1_HID!$B$1:$B$4</c:f>
              <c:numCache>
                <c:formatCode>General</c:formatCode>
                <c:ptCount val="4"/>
                <c:pt idx="0">
                  <c:v>-1.4835586606057851</c:v>
                </c:pt>
                <c:pt idx="1">
                  <c:v>-0.61764190022634569</c:v>
                </c:pt>
                <c:pt idx="2">
                  <c:v>1.3403715974941672</c:v>
                </c:pt>
                <c:pt idx="3">
                  <c:v>0.76082896333796302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B-4234-9A81-98A60469A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402176"/>
        <c:axId val="1238293616"/>
      </c:scatterChart>
      <c:valAx>
        <c:axId val="123940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(54.63 %)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38293616"/>
        <c:crosses val="autoZero"/>
        <c:crossBetween val="midCat"/>
      </c:valAx>
      <c:valAx>
        <c:axId val="1238293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(30.99 %)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12394021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Biplot (axes F1 and F2: 85.62 %)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FBF-453C-85D9-5AFE847F0E65}"/>
                </c:ext>
              </c:extLst>
            </c:dLbl>
            <c:dLbl>
              <c:idx val="1"/>
              <c:layout>
                <c:manualLayout>
                  <c:x val="-1.7361111111111112E-2"/>
                  <c:y val="-3.0864197530864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FBF-453C-85D9-5AFE847F0E65}"/>
                </c:ext>
              </c:extLst>
            </c:dLbl>
            <c:dLbl>
              <c:idx val="2"/>
              <c:layout>
                <c:manualLayout>
                  <c:x val="-5.9374999999999997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FBF-453C-85D9-5AFE847F0E65}"/>
                </c:ext>
              </c:extLst>
            </c:dLbl>
            <c:dLbl>
              <c:idx val="3"/>
              <c:layout>
                <c:manualLayout>
                  <c:x val="-1.7361111111111112E-2"/>
                  <c:y val="-3.0864197530864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FBF-453C-85D9-5AFE847F0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XLSTAT_20260730_142043_1_HID1!$A$1:$A$4</c:f>
              <c:numCache>
                <c:formatCode>General</c:formatCode>
                <c:ptCount val="4"/>
                <c:pt idx="0">
                  <c:v>1.3009506177699834</c:v>
                </c:pt>
                <c:pt idx="1">
                  <c:v>1.9187036709529504</c:v>
                </c:pt>
                <c:pt idx="2">
                  <c:v>-1.1397375501158102</c:v>
                </c:pt>
                <c:pt idx="3">
                  <c:v>1.9401119198314616</c:v>
                </c:pt>
              </c:numCache>
            </c:numRef>
          </c:xVal>
          <c:yVal>
            <c:numRef>
              <c:f>XLSTAT_20260730_142043_1_HID1!$B$1:$B$4</c:f>
              <c:numCache>
                <c:formatCode>General</c:formatCode>
                <c:ptCount val="4"/>
                <c:pt idx="0">
                  <c:v>-1.7895959870207003</c:v>
                </c:pt>
                <c:pt idx="1">
                  <c:v>1.2931712117498688</c:v>
                </c:pt>
                <c:pt idx="2">
                  <c:v>2.0670670654813219</c:v>
                </c:pt>
                <c:pt idx="3">
                  <c:v>1.1354384168961977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F-453C-85D9-5AFE847F0E65}"/>
            </c:ext>
          </c:extLst>
        </c:ser>
        <c:ser>
          <c:idx val="1"/>
          <c:order val="1"/>
          <c:tx>
            <c:v>Active observations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FBF-453C-85D9-5AFE847F0E65}"/>
                </c:ext>
              </c:extLst>
            </c:dLbl>
            <c:dLbl>
              <c:idx val="1"/>
              <c:layout>
                <c:manualLayout>
                  <c:x val="-8.6527777777777773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FBF-453C-85D9-5AFE847F0E65}"/>
                </c:ext>
              </c:extLst>
            </c:dLbl>
            <c:dLbl>
              <c:idx val="2"/>
              <c:layout>
                <c:manualLayout>
                  <c:x val="-1.7361111111111112E-2"/>
                  <c:y val="-3.0864197530864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FBF-453C-85D9-5AFE847F0E65}"/>
                </c:ext>
              </c:extLst>
            </c:dLbl>
            <c:dLbl>
              <c:idx val="3"/>
              <c:layout>
                <c:manualLayout>
                  <c:x val="-1.7361111111111112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FBF-453C-85D9-5AFE847F0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XLSTAT_20260730_142043_1_HID1!$C$1:$C$4</c:f>
              <c:numCache>
                <c:formatCode>General</c:formatCode>
                <c:ptCount val="4"/>
                <c:pt idx="0">
                  <c:v>1.5587157674606946</c:v>
                </c:pt>
                <c:pt idx="1">
                  <c:v>-2.4251398997893272</c:v>
                </c:pt>
                <c:pt idx="2">
                  <c:v>0.26810397829338883</c:v>
                </c:pt>
                <c:pt idx="3">
                  <c:v>0.59832015403524419</c:v>
                </c:pt>
              </c:numCache>
            </c:numRef>
          </c:xVal>
          <c:yVal>
            <c:numRef>
              <c:f>XLSTAT_20260730_142043_1_HID1!$D$1:$D$4</c:f>
              <c:numCache>
                <c:formatCode>General</c:formatCode>
                <c:ptCount val="4"/>
                <c:pt idx="0">
                  <c:v>-1.4835586606057851</c:v>
                </c:pt>
                <c:pt idx="1">
                  <c:v>-0.61764190022634569</c:v>
                </c:pt>
                <c:pt idx="2">
                  <c:v>1.3403715974941672</c:v>
                </c:pt>
                <c:pt idx="3">
                  <c:v>0.76082896333796302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BF-453C-85D9-5AFE847F0E65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1.3009506177699834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-1.7895959870207003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7FBF-453C-85D9-5AFE847F0E65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1.9187036709529504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1.2931712117498688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7FBF-453C-85D9-5AFE847F0E65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-1.1397375501158102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2.0670670654813219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7FBF-453C-85D9-5AFE847F0E65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1.9401119198314616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1.1354384168961977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7FBF-453C-85D9-5AFE847F0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389648"/>
        <c:axId val="1238329136"/>
      </c:scatterChart>
      <c:valAx>
        <c:axId val="123938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(54.63 %)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38329136"/>
        <c:crosses val="autoZero"/>
        <c:crossBetween val="midCat"/>
      </c:valAx>
      <c:valAx>
        <c:axId val="1238329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(30.99 %)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123938964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Axes homogeneity index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'EXP 6'!$B$162:$B$164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'EXP 6'!$C$162:$C$164</c:f>
              <c:numCache>
                <c:formatCode>0.000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0-4CE8-8E20-B3EB955A5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234686512"/>
        <c:axId val="1238332016"/>
      </c:barChart>
      <c:catAx>
        <c:axId val="123468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axis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38332016"/>
        <c:crosses val="autoZero"/>
        <c:auto val="1"/>
        <c:lblAlgn val="ctr"/>
        <c:lblOffset val="100"/>
        <c:noMultiLvlLbl val="0"/>
      </c:catAx>
      <c:valAx>
        <c:axId val="123833201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34686512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26" noThreeD="1" sel="1" val="0">
  <itemLst>
    <item val="Summary statistics"/>
    <item val="Principal Component Analysis"/>
    <item val="Eigenvalues"/>
    <item val="Eigenvectors"/>
    <item val="Factor loadings"/>
    <item val="Correlations between variables and factors"/>
    <item val="Contribution of the variables (%)"/>
    <item val="Squared cosines of the variables"/>
    <item val="Factor scores"/>
    <item val="Contribution of the observations (%)"/>
    <item val="Axes homogeneity index"/>
    <item val="Squared cosines of the observations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109728</xdr:colOff>
      <xdr:row>0</xdr:row>
      <xdr:rowOff>36576</xdr:rowOff>
    </xdr:from>
    <xdr:to>
      <xdr:col>12</xdr:col>
      <xdr:colOff>597408</xdr:colOff>
      <xdr:row>1</xdr:row>
      <xdr:rowOff>146304</xdr:rowOff>
    </xdr:to>
    <xdr:sp macro="[0]!OrderXLSTAT" textlink="">
      <xdr:nvSpPr>
        <xdr:cNvPr id="2" name="BT705548">
          <a:extLst>
            <a:ext uri="{FF2B5EF4-FFF2-40B4-BE49-F238E27FC236}">
              <a16:creationId xmlns:a16="http://schemas.microsoft.com/office/drawing/2014/main" id="{5AECA23D-6A40-CD4B-F6B3-8E07C26D23B0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3" name="TX570385" hidden="1">
          <a:extLst>
            <a:ext uri="{FF2B5EF4-FFF2-40B4-BE49-F238E27FC236}">
              <a16:creationId xmlns:a16="http://schemas.microsoft.com/office/drawing/2014/main" id="{41F9D1E7-3873-597A-87E2-BF2E5FC3B3FF}"/>
            </a:ext>
          </a:extLst>
        </xdr:cNvPr>
        <xdr:cNvSpPr txBox="1"/>
      </xdr:nvSpPr>
      <xdr:spPr>
        <a:xfrm>
          <a:off x="949960" y="14630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RunProcPCA
Form22.txt
CheckBoxTrans,CheckBox,0,False,01,False,Trans,False,,,
TextBoxList,TextBox,,False,02,False,,False,,,
CheckBox_W,CheckBox,0,True,000000000301_General,True,Weights,False,,,
CheckBox_ObsLabels,CheckBox,0,True,000000000101_General,True,Observation labels,False,,,
CheckBox_Desc,CheckBox,-1,True,400000000000_Outputs,True,Descriptive statistics,False,,,
CheckBox_Corr,CheckBox,0,True,400000000100_Outputs,True,Correlations,False,,,
CheckBoxSig,CheckBox,0,True,400000000200_Outputs,True,Test significance,False,,,
TextBox_conf,TextBox,5,True,400000010400_Outputs,True,Significance level (%):,False,,,
CheckBoxBartlett,CheckBox,0,True,400000000300_Outputs,True,Bartlett's sphericity test,False,,,
CheckBoxKMO,CheckBox,0,True,400000000500_Outputs,True,Kaiser-Meyer-Olkin,False,,,
CheckBox_RankedMat,CheckBox,0,False,400000000600_Outputs,False,Ranks matrix,False,,,
CheckBoxLoadings,CheckBox,-1,True,400000000101_Outputs,True,Factor loadings,False,,,
CheckBoxScores,CheckBox,-1,True,400000000301_Outputs,True,Factor scores,False,,,
CheckBoxCorrFactVar,CheckBox,-1,True,400000000201_Outputs,True,Variables/Factors correlations,False,,,
CheckBoxEigen,CheckBox,-1,True,400000000001_Outputs,True,Eigenvalues,False,,,
CheckBoxContrib,CheckBox,-1,True,400000000401_Outputs,True,Contributions,False,,,
CheckBoxCos,CheckBox,-1,True,400000000501_Outputs,True,Squared cosines,False,,,
CheckBoxSuppObs,CheckBox,0,True,200000000000_Additional data,True,Supplementary observations,False,,,
CheckBox_VarLabelsSuppObs,CheckBox,0,True,200000000200_Additional data,True,Var. labels for supp. obs,False,,,
CheckBox_ObsLabelsSuppObs,CheckBox,0,True,200000000300_Additional data,True,Supp. obs labels,False,,,
CheckBoxSuppVar,CheckBox,0,True,200000000001_Additional data,True,Supplementary variables,False,,,
CheckBox_Q,CheckBox,0,True,200000000301_Additional data,True,Qualitative,False,,,
CheckBox_X,CheckBox,0,True,200000000101_Additional data,True,Quantitative,False,,,
CheckBoxCentroids,CheckBox,0,True,200000000401_Additional data,True,Display centroids,False,,,
OptionButton_MVRemove,OptionButton,0,True,300000000101_Data options,True,Remove the observations,False,,,
OptionButton_MVRefuse,OptionButton,-1,True,300000000001_Data options,True,Do not accept missing data,False,,,
OptionButton_MeanMode,OptionButton,-1,True,300000000401_Data options,True,Mean or mode,False,,,
OptionButton_NN,OptionButton,0,True,300000010401_Data options,True,Nearest neighbor,False,,,
OptionButton_MVEstimate,OptionButton,0,True,300000000301_Data options,True,Estimate missing data,False,,,
OptionButton_MVPair,OptionButton,0,True,300000000201_Data options,True,Pairwise deletion,False,,,
OptionButton_MVReplace0,OptionButton,0,False,300000000501_Data options,False,Replace missing data by 0,False,,,
CheckBoxByGroup,CheckBox,0,True,300000000102_Data options,True,By group analysis,False,,,
OptionButton_ByGroups,OptionButton,-1,True,300000000302_Data options,True,One PCA per group,False,,,
OptionButton_ByGroupsSelected,OptionButton,0,True,300000010302_Data options,True,One PCA per selected group,False,,,
OptionButton_GroupsMerged,OptionButton,0,True,300000020302_Data options,True,One PCA on merged groups,False,,,
CheckBoxIndCharts,CheckBox,-1,True,510000000000_Charts|Observations,True,Observations charts,False,,,
CheckBoxLabelsInd,CheckBox,-1,True,510000000100_Charts|Observations,True,Labels,False,,,
CheckBoxColorsLabelObs,CheckBox,0,True,510000000200_Charts|Observations,True,Colored labels,False,,,
CheckBoxSizeObs,CheckBox,0,True,510000000700_Charts|Observations,True,Resize points with Cos2,False,,,
CheckBoxColorObsGroup,CheckBox,0,True,510000000300_Charts|Observations,True,Color by group,False,,,
CheckBoxEllipseGroup,CheckBox,0,True,510000000500_Charts|Observations,True,Confidence ellipses,False,,,
TextBox_Conf_Ellipse,TextBox,95,True,510000010600_Charts|Observations,True,,False,,,
TextBoxPoints,TextBox,0.5,True,510000000301_Charts|Observations,True,Sum(Cos2)&gt;,False,,,
ComboBoxFilter,ComboBox,4,True,510000000101_Charts|Observations,True,Select the filtering option,False,,,
CheckBoxChartsFilter,CheckBox,0,True,510000000001_Charts|Observations,True,Filter,False,,,
CheckBoxVectors,CheckBox,0,True,500000000100_Charts|Variables,True,Vectors,False,,,
CheckBoxCorrCharts,CheckBox,0,True,500000000000_Charts|Variables,True,Correlation charts,False,,,
CheckBoxColorsVar,CheckBox,0,True,500000000300_Charts|Variables,True,Colored labels,False,,,
CheckBoxColorVarGroup,CheckBox,0,True,500000000400_Charts|Variables,True,Color by group,False,,,
CheckBoxSizeVar,CheckBox,0,True,500000000700_Charts|Variables,True,Resize points with Cos2,False,,,
CheckBoxLabelAngle,CheckBox,0,True,500000000200_Charts|Variables,True,Orientate labels,False,,,
TextBoxPointsVar,TextBox,0.5,True,500000000301_Charts|Variables,True,Sum(Cos2)&gt;,False,,,
ComboBoxFilterVar,ComboBox,4,True,500000000101_Charts|Variables,True,Select the filtering option,False,,,
CheckBoxChartsFilterVar,CheckBox,0,True,500000000001_Charts|Variables,True,Filter,False,,,
CheckBoxBiplotVectorsVar,CheckBox,-1,True,520000000200_Charts|Biplots,True,Vectors,False,,,
CheckBoxBiplotLabelsVar,CheckBox,-1,True,520000000300_Charts|Biplots,True,Labels,False,,,
CheckBoxBiplots,CheckBox,-1,True,520000000000_Charts|Biplots,True,Biplots,False,,,
CheckBoxBiplotLabelsObs,CheckBox,-1,True,520000000500_Charts|Biplots,True,Labels,False,,,
CheckBoxBiplotSuppObsVar,CheckBox,-1,True,520000000700_Charts|Biplots,True,Supp. Obs/Var,False,,,
CheckBoxBiplotFilterObsVar,CheckBox,-1,True,520000000800_Charts|Biplots,True,Filter Obs/Var,False,,,
ComboBoxBiplot,ComboBox,1,True,520000000101_Charts|Biplots,True,Select the type of biplot,False,,,
ComboBoxScale,ComboBox,3,True,520000000301_Charts|Biplots,True,Coefficient:,False,,,
TextBoxScale,TextBox,1,False,520000000401_Charts|Biplots,False,Coefficient:,False,,,
OptionButtonEllipseBoot,OptionButton,0,True,530000020400_Charts|Bootstrap charts,True,Confidence ellipses,False,,,
OptionButtonConvexHullBoot,OptionButton,-1,True,530000010400_Charts|Bootstrap charts,True,Convex hulls,False,,,
CheckBoxBootChart,CheckBox,0,True,530000000000_Charts|Bootstrap charts,True,Bootstrap observations chart,False,,,
TextBoxNbSampleBoot,TextBox,50,True,530000010100_Charts|Bootstrap charts,True,Number of samples:,False,,,
CheckBoxColorObsBoot,CheckBox,0,True,530000000200_Charts|Bootstrap charts,True,Color observations,False,,,
CheckBoxChartsFilterBoot,CheckBox,0,True,530000000300_Charts|Bootstrap charts,True,Filter observations,False,,,
ComboBoxRotation,ComboBox,0,True,100000000401_Options,True,Select the type of rotation,False,,,
CheckBoxRotation,CheckBox,0,True,100000000001_Options,True,Rotation,False,,,
TextBoxGammTau,TextBox,0,False,100000000701_Options,False,,False,,,
CheckBoxKaiser,CheckBox,0,True,100000000501_Options,True,Kaiser normalization,False,,,
TextBoxNbFact,TextBox,2,True,100000000201_Options,True,Number of factors:,False,,,
FileSelect1,CommandButton,,False,000000000600_General,False,RefEditT,False,,,
CheckBoxVarLabels,CheckBox,-1,True,000000000001_General,True,Variable labels,False,,,
FileSelect2,CommandButton,,False,200000000500_Additional data,False,RefEdit_SuppObs,False,,,
ScrollBarSelect,ScrollBar,0,False,03,False,,,,,
CheckBoxMaxFilter,CheckBox,-1,True,100000030000_Options,True,Maximum number,False,,,
TextBoxCompMax,TextBox,5,True,100000040000_Options,True,,False,,,
CheckBoxMinFilter,CheckBox,0,True,100000010000_Options,True,Minimum %,False,,,
TextBoxMinPerc,TextBox,80,True,100000020000_Options,True,,False,,,
OptionButton_Std_n1,OptionButton,0,True,100000020100_Options,True,n-1,False,,,
OptionButton_Std_n,OptionButton,-1,True,100000010100_Options,True,n,False,,,
CheckBoxBiplotColorGroupObsVar,CheckBox,-1,True,520000000900_Charts|Biplots,True,Color Obs/Var,False,,,
CheckBoxDisplay2Axes,CheckBox,0,True,100000040100_Options,True,Charts on the first two axes,False,,,
SpinButtonCompMax,SpinButton,5,True,100000050000_Options,False,,,,,
RefEditT,TextBox0,'Sheet2'!$C$2:$F$6,True,000000000200_General,True,,False,,3,2
RefEdit_W,TextBox0,,True,000000000401_General,True,Weights:,False,,,
RefEdit_ObsLabels,TextBox0,,True,000000000201_General,True,Observation labels:,False,,,
RefEdit_SuppObs,TextBox0,,True,200000000100_Additional data,True,,False,,,
RefEdit_ObsSuppLabels,TextBox0,,True,200000000400_Additional data,True,,False,,,
RefEdit_Q,TextBox0,,True,200000000501_Additional data,True,Qualitative:,False,,,
RefEdit_X,TextBox0,,True,200000000201_Additional data,True,Quantitative:,False,,,
RefEditGroups,TextBox0,,True,300000000202_Data options,True,,False,,,
RefEditColorObsGroup,TextBox0,,True,510000000400_Charts|Observations,True,Color by group,False,,,
RefEditGroupFilter,TextBox0,,True,510000000501_Charts|Observations,True,Group variable:,False,,,
RefEditColorVarGroup,TextBox0,,True,500000000500_Charts|Variables,True,Color by group,False,,,
RefEditGroupFilterVar,TextBox0,,True,500000000501_Charts|Variables,True,Group variable:,False,,,
CheckBox_SV,CheckBox,0,False,05,False,SV,False,,,
OptionButton_R,OptionButton,0,True,0006,True,Range,False,,,
RefEdit_R,TextBox,,True,0106,True,Range:,False,,,
OptionButton_S,OptionButton,-1,True,0206,True,Sheet,False,,,
OptionButton_W,OptionButton,0,True,0306,True,Workbook,False,,,
RefEdit_ObsLabels_SV,TextBox0,,True,000000000003_General,True,Observation labels:,False,,,
CheckBox_ObsLabels_SV,CheckBox,0,True,000000000103_General,True,Observation labels,False,,,
CheckBoxVarLabels_SV,CheckBox,-1,True,000000000203_General,True,Variable labels,False,,,
CheckBoxDisplay2Axes_SV,CheckBox,0,True,000000000102_General,True,Charts on the first two axes,False,,,
RefEditColorVarGroup_SV,TextBox,,True,000000000202_General,True,Color by group,False,,,
CheckBoxColorVarGroup_SV,CheckBox,0,True,000000000302_General,True,Color by group,False,,,
CheckBoxCorrCharts_SV,CheckBox,-1,True,000000000402_General,True,Correlation charts,False,,,
RefEditColorObsGroup_SV,TextBox0,,True,000000000502_General,True,Color by group,False,,,
CheckBoxColorObsGroup_SV,CheckBox,0,True,000000000602_General,True,Color by group,False,,,
CheckBoxIndCharts_SV,CheckBox,-1,True,000000000702_General,True,Observations charts,False,,,
CheckBoxBiplotLabelsVar_SV,CheckBox,-1,True,000000000802_General,True,Labels,False,,,
CheckBoxBiplots_SV,CheckBox,-1,True,000000000902_General,True,Biplots,False,,,
ComboBoxFormat,ComboBox,0,True,000000010000_General,True,Data format:,False,,,
ComboBoxType,ComboBox,0,True,000000000500_General,True,Select the type of PCA to perform,False,,,
FileSelect3,CommandButton,,False,500000000800_Charts|Variables,False,RefEditColorVarGroup,False,,,
FileSelect4,CommandButton,,False,000000001002_General,False,RefEditColorVarGroup_SV,False,,,
CheckBox_SV,CheckBox,0,False,22,False,SV,False,,,
</a:t>
          </a:r>
        </a:p>
      </xdr:txBody>
    </xdr:sp>
    <xdr:clientData/>
  </xdr:twoCellAnchor>
  <xdr:twoCellAnchor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4" name="TX342011" hidden="1">
          <a:extLst>
            <a:ext uri="{FF2B5EF4-FFF2-40B4-BE49-F238E27FC236}">
              <a16:creationId xmlns:a16="http://schemas.microsoft.com/office/drawing/2014/main" id="{31C463F7-A142-3219-AA6D-D9A4E50413BB}"/>
            </a:ext>
          </a:extLst>
        </xdr:cNvPr>
        <xdr:cNvSpPr txBox="1"/>
      </xdr:nvSpPr>
      <xdr:spPr>
        <a:xfrm>
          <a:off x="949960" y="14630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RunProcAIA
Form298.txt
Form22.txt
</a:t>
          </a:r>
        </a:p>
      </xdr:txBody>
    </xdr:sp>
    <xdr:clientData/>
  </xdr:twoCellAnchor>
  <xdr:twoCellAnchor editAs="absolute">
    <xdr:from>
      <xdr:col>1</xdr:col>
      <xdr:colOff>6350</xdr:colOff>
      <xdr:row>8</xdr:row>
      <xdr:rowOff>6350</xdr:rowOff>
    </xdr:from>
    <xdr:to>
      <xdr:col>5</xdr:col>
      <xdr:colOff>6350</xdr:colOff>
      <xdr:row>8</xdr:row>
      <xdr:rowOff>470535</xdr:rowOff>
    </xdr:to>
    <xdr:sp macro="" textlink="">
      <xdr:nvSpPr>
        <xdr:cNvPr id="5" name="BK570385">
          <a:extLst>
            <a:ext uri="{FF2B5EF4-FFF2-40B4-BE49-F238E27FC236}">
              <a16:creationId xmlns:a16="http://schemas.microsoft.com/office/drawing/2014/main" id="{480070E5-E947-51B2-3943-5A9FCE85EF97}"/>
            </a:ext>
          </a:extLst>
        </xdr:cNvPr>
        <xdr:cNvSpPr/>
      </xdr:nvSpPr>
      <xdr:spPr>
        <a:xfrm>
          <a:off x="334010" y="1469390"/>
          <a:ext cx="24384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62442</xdr:colOff>
      <xdr:row>8</xdr:row>
      <xdr:rowOff>53975</xdr:rowOff>
    </xdr:from>
    <xdr:to>
      <xdr:col>1</xdr:col>
      <xdr:colOff>448522</xdr:colOff>
      <xdr:row>8</xdr:row>
      <xdr:rowOff>440055</xdr:rowOff>
    </xdr:to>
    <xdr:pic macro="[0]!ReRunXLSTAT">
      <xdr:nvPicPr>
        <xdr:cNvPr id="6" name="BT570385">
          <a:extLst>
            <a:ext uri="{FF2B5EF4-FFF2-40B4-BE49-F238E27FC236}">
              <a16:creationId xmlns:a16="http://schemas.microsoft.com/office/drawing/2014/main" id="{BE25450C-03D4-F29E-4EBD-8BBD35074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102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8</xdr:row>
      <xdr:rowOff>53975</xdr:rowOff>
    </xdr:from>
    <xdr:to>
      <xdr:col>2</xdr:col>
      <xdr:colOff>321310</xdr:colOff>
      <xdr:row>8</xdr:row>
      <xdr:rowOff>440055</xdr:rowOff>
    </xdr:to>
    <xdr:pic macro="[0]!AddRemovGrid">
      <xdr:nvPicPr>
        <xdr:cNvPr id="7" name="RM570385">
          <a:extLst>
            <a:ext uri="{FF2B5EF4-FFF2-40B4-BE49-F238E27FC236}">
              <a16:creationId xmlns:a16="http://schemas.microsoft.com/office/drawing/2014/main" id="{D3949DB2-467A-6556-EF07-AFACE5FA5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8</xdr:row>
      <xdr:rowOff>53975</xdr:rowOff>
    </xdr:from>
    <xdr:to>
      <xdr:col>2</xdr:col>
      <xdr:colOff>321310</xdr:colOff>
      <xdr:row>8</xdr:row>
      <xdr:rowOff>440055</xdr:rowOff>
    </xdr:to>
    <xdr:pic macro="[0]!AddRemovGrid">
      <xdr:nvPicPr>
        <xdr:cNvPr id="8" name="AD570385" hidden="1">
          <a:extLst>
            <a:ext uri="{FF2B5EF4-FFF2-40B4-BE49-F238E27FC236}">
              <a16:creationId xmlns:a16="http://schemas.microsoft.com/office/drawing/2014/main" id="{8F97AFCB-8F3C-2DDE-C43E-A7EB08BFE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490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417618</xdr:colOff>
      <xdr:row>8</xdr:row>
      <xdr:rowOff>53975</xdr:rowOff>
    </xdr:from>
    <xdr:to>
      <xdr:col>3</xdr:col>
      <xdr:colOff>194098</xdr:colOff>
      <xdr:row>8</xdr:row>
      <xdr:rowOff>440055</xdr:rowOff>
    </xdr:to>
    <xdr:pic macro="[0]!SendToOfficeLocal">
      <xdr:nvPicPr>
        <xdr:cNvPr id="9" name="WD570385">
          <a:extLst>
            <a:ext uri="{FF2B5EF4-FFF2-40B4-BE49-F238E27FC236}">
              <a16:creationId xmlns:a16="http://schemas.microsoft.com/office/drawing/2014/main" id="{DBE433D3-7C64-3C7D-B850-400BB69A9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4878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290407</xdr:colOff>
      <xdr:row>8</xdr:row>
      <xdr:rowOff>53975</xdr:rowOff>
    </xdr:from>
    <xdr:to>
      <xdr:col>4</xdr:col>
      <xdr:colOff>66887</xdr:colOff>
      <xdr:row>8</xdr:row>
      <xdr:rowOff>440055</xdr:rowOff>
    </xdr:to>
    <xdr:pic macro="[0]!SendToOfficeLocal">
      <xdr:nvPicPr>
        <xdr:cNvPr id="10" name="PT570385">
          <a:extLst>
            <a:ext uri="{FF2B5EF4-FFF2-40B4-BE49-F238E27FC236}">
              <a16:creationId xmlns:a16="http://schemas.microsoft.com/office/drawing/2014/main" id="{B92BB161-9962-F150-82B1-B56AC44D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7267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4</xdr:col>
      <xdr:colOff>163195</xdr:colOff>
      <xdr:row>8</xdr:row>
      <xdr:rowOff>53975</xdr:rowOff>
    </xdr:from>
    <xdr:to>
      <xdr:col>4</xdr:col>
      <xdr:colOff>549275</xdr:colOff>
      <xdr:row>8</xdr:row>
      <xdr:rowOff>440055</xdr:rowOff>
    </xdr:to>
    <xdr:pic macro="[0]!getAIAResultsLocal">
      <xdr:nvPicPr>
        <xdr:cNvPr id="11" name="IA342011">
          <a:extLst>
            <a:ext uri="{FF2B5EF4-FFF2-40B4-BE49-F238E27FC236}">
              <a16:creationId xmlns:a16="http://schemas.microsoft.com/office/drawing/2014/main" id="{E0FA4304-0D10-E423-850C-4D749CCFC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9655" y="151701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D10ED67-4A4C-D666-0991-1DA48793F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6350</xdr:colOff>
      <xdr:row>99</xdr:row>
      <xdr:rowOff>22861</xdr:rowOff>
    </xdr:from>
    <xdr:to>
      <xdr:col>1</xdr:col>
      <xdr:colOff>170180</xdr:colOff>
      <xdr:row>100</xdr:row>
      <xdr:rowOff>3811</xdr:rowOff>
    </xdr:to>
    <xdr:pic macro="[1]!RunArrowDown">
      <xdr:nvPicPr>
        <xdr:cNvPr id="13" name="ArrDwn_940">
          <a:extLst>
            <a:ext uri="{FF2B5EF4-FFF2-40B4-BE49-F238E27FC236}">
              <a16:creationId xmlns:a16="http://schemas.microsoft.com/office/drawing/2014/main" id="{942106A1-4A81-1111-63FA-713C0B9A1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4010" y="18539461"/>
          <a:ext cx="163830" cy="163830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106</xdr:row>
      <xdr:rowOff>0</xdr:rowOff>
    </xdr:from>
    <xdr:to>
      <xdr:col>1</xdr:col>
      <xdr:colOff>38100</xdr:colOff>
      <xdr:row>106</xdr:row>
      <xdr:rowOff>25400</xdr:rowOff>
    </xdr:to>
    <xdr:sp macro="" textlink="">
      <xdr:nvSpPr>
        <xdr:cNvPr id="14" name="TX97387" hidden="1">
          <a:extLst>
            <a:ext uri="{FF2B5EF4-FFF2-40B4-BE49-F238E27FC236}">
              <a16:creationId xmlns:a16="http://schemas.microsoft.com/office/drawing/2014/main" id="{06F4BE94-4B02-EE16-2CAC-7747681B1A68}"/>
            </a:ext>
          </a:extLst>
        </xdr:cNvPr>
        <xdr:cNvSpPr txBox="1"/>
      </xdr:nvSpPr>
      <xdr:spPr>
        <a:xfrm>
          <a:off x="340360" y="1980438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RunProcHAC
Form17.txt
RefEditT,RefEdit0,'XLSTAT_20260730_142043_1'!$C$100:$E$104,,,,,,
RefEdit_ObsLabels,RefEdit0,'XLSTAT_20260730_142043_1'!$B$100:$B$104,,,,,,
CheckBoxVarLabels,CheckBox,True,,,,,,
CheckBox_ObsLabels,CheckBox,True,,,,,,
</a:t>
          </a:r>
        </a:p>
      </xdr:txBody>
    </xdr:sp>
    <xdr:clientData/>
  </xdr:twoCellAnchor>
  <xdr:twoCellAnchor editAs="oneCell">
    <xdr:from>
      <xdr:col>1</xdr:col>
      <xdr:colOff>25400</xdr:colOff>
      <xdr:row>105</xdr:row>
      <xdr:rowOff>25400</xdr:rowOff>
    </xdr:from>
    <xdr:to>
      <xdr:col>1</xdr:col>
      <xdr:colOff>340360</xdr:colOff>
      <xdr:row>106</xdr:row>
      <xdr:rowOff>157480</xdr:rowOff>
    </xdr:to>
    <xdr:pic macro="[0]!ReRunXLSTAT">
      <xdr:nvPicPr>
        <xdr:cNvPr id="15" name="BT97387">
          <a:extLst>
            <a:ext uri="{FF2B5EF4-FFF2-40B4-BE49-F238E27FC236}">
              <a16:creationId xmlns:a16="http://schemas.microsoft.com/office/drawing/2014/main" id="{6542A8CE-8A5A-4FE5-ADEE-9379E04CAB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060" y="19646900"/>
          <a:ext cx="314960" cy="31496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0</xdr:colOff>
      <xdr:row>109</xdr:row>
      <xdr:rowOff>0</xdr:rowOff>
    </xdr:from>
    <xdr:to>
      <xdr:col>7</xdr:col>
      <xdr:colOff>0</xdr:colOff>
      <xdr:row>127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FEBDD77-3DD6-4220-CBE1-A98FDF90A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129</xdr:row>
      <xdr:rowOff>0</xdr:rowOff>
    </xdr:from>
    <xdr:to>
      <xdr:col>7</xdr:col>
      <xdr:colOff>0</xdr:colOff>
      <xdr:row>147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6DFD971-AD42-8749-51D9-7377A5BDD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166</xdr:row>
      <xdr:rowOff>1</xdr:rowOff>
    </xdr:from>
    <xdr:to>
      <xdr:col>7</xdr:col>
      <xdr:colOff>0</xdr:colOff>
      <xdr:row>184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BD56920-9120-ECF9-64A9-441ABC21B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9" name="XP570385" hidden="1">
          <a:extLst>
            <a:ext uri="{FF2B5EF4-FFF2-40B4-BE49-F238E27FC236}">
              <a16:creationId xmlns:a16="http://schemas.microsoft.com/office/drawing/2014/main" id="{D0F797F9-F811-FFF8-D2D1-88DC685A8743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PCA*SEP*Summary statistics*SEP*$B$13
PCA*SEP*Principal Component Analysis*SEP*$B$22
PCA*SEP*Eigenvalues*SEP*$B$24
PCA*SEP*Eigenvectors*SEP*$B$52
PCA*SEP*Factor loadings*SEP*$B$61
PCA*SEP*Correlations between variables and factors*SEP*$B$70
PCA*SEP*Contribution of the variables (%)*SEP*$B$79
PCA*SEP*Squared cosines of the variables*SEP*$B$88
PCA*SEP*Factor scores*SEP*$B$98
PCA*SEP*Contribution of the observations (%)*SEP*$B$150
PCA*SEP*Axes homogeneity index*SEP*$B$159
PCA*SEP*Squared cosines of the observations*SEP*$B$187</a:t>
          </a:r>
        </a:p>
      </xdr:txBody>
    </xdr:sp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20" name="XP342011" hidden="1">
          <a:extLst>
            <a:ext uri="{FF2B5EF4-FFF2-40B4-BE49-F238E27FC236}">
              <a16:creationId xmlns:a16="http://schemas.microsoft.com/office/drawing/2014/main" id="{027CC566-41D1-3928-B10E-AD6489FC3E7D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PCA*SEP*Summary statistics*SEP*$B$13
PCA*SEP*Principal Component Analysis*SEP*$B$22
PCA*SEP*Eigenvalues*SEP*$B$24
PCA*SEP*Eigenvectors*SEP*$B$52
PCA*SEP*Factor loadings*SEP*$B$61
PCA*SEP*Correlations between variables and factors*SEP*$B$70
PCA*SEP*Contribution of the variables (%)*SEP*$B$79
PCA*SEP*Squared cosines of the variables*SEP*$B$88
PCA*SEP*Factor scores*SEP*$B$98
PCA*SEP*Contribution of the observations (%)*SEP*$B$150
PCA*SEP*Axes homogeneity index*SEP*$B$159
PCA*SEP*Squared cosines of the observations*SEP*$B$187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5</xdr:col>
          <xdr:colOff>0</xdr:colOff>
          <xdr:row>10</xdr:row>
          <xdr:rowOff>0</xdr:rowOff>
        </xdr:to>
        <xdr:sp macro="" textlink="">
          <xdr:nvSpPr>
            <xdr:cNvPr id="1025" name="DD650488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A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ogram%20Files/Addinsoft/XLSTAT/XLSTAT.xla" TargetMode="External"/><Relationship Id="rId2" Type="http://schemas.openxmlformats.org/officeDocument/2006/relationships/externalLinkPath" Target="file:///C:\Program%20Files\Addinsoft\XLSTAT\XLSTAT.xla" TargetMode="External"/><Relationship Id="rId1" Type="http://schemas.openxmlformats.org/officeDocument/2006/relationships/externalLinkPath" Target="/Program%20Files/Addinsoft/XLSTAT/XLSTA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lank"/>
      <sheetName val="XLSTAT"/>
    </sheetNames>
    <definedNames>
      <definedName name="RunArrowDown"/>
    </definedNames>
    <sheetDataSet>
      <sheetData sheetId="0"/>
      <sheetData sheetId="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F32081-325D-4C35-8DE3-136AF8AEF03C}" autoFormatId="16" applyNumberFormats="0" applyBorderFormats="0" applyFontFormats="0" applyPatternFormats="0" applyAlignmentFormats="0" applyWidthHeightFormats="0">
  <queryTableRefresh nextId="7">
    <queryTableFields count="6">
      <queryTableField id="1" name="REG NO" tableColumnId="1"/>
      <queryTableField id="2" name="NAME" tableColumnId="2"/>
      <queryTableField id="3" name="TAMIL" tableColumnId="3"/>
      <queryTableField id="4" name="ENGLISH" tableColumnId="4"/>
      <queryTableField id="5" name="MATHS" tableColumnId="5"/>
      <queryTableField id="6" name="SCIE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81429-5D94-4A8D-B7F2-D2C8E73FB14B}" name="Book1" displayName="Book1" ref="A1:F14" tableType="queryTable" totalsRowShown="0">
  <autoFilter ref="A1:F14" xr:uid="{40781429-5D94-4A8D-B7F2-D2C8E73FB14B}"/>
  <tableColumns count="6">
    <tableColumn id="1" xr3:uid="{F2255199-229C-4B74-85B1-B729B94FB5F3}" uniqueName="1" name="REG NO" queryTableFieldId="1"/>
    <tableColumn id="2" xr3:uid="{AF4C9ABC-D383-4F8B-BE96-778DF2BD0861}" uniqueName="2" name="NAME" queryTableFieldId="2" dataDxfId="0"/>
    <tableColumn id="3" xr3:uid="{B3E149FC-B1E1-4DD8-8B0A-4E6BD1EA6FE6}" uniqueName="3" name="TAMIL" queryTableFieldId="3"/>
    <tableColumn id="4" xr3:uid="{B29D92C7-BC99-47C9-80EE-8B0F3398233A}" uniqueName="4" name="ENGLISH" queryTableFieldId="4"/>
    <tableColumn id="5" xr3:uid="{82099507-D0BF-4FEC-881E-2ABA7A807525}" uniqueName="5" name="MATHS" queryTableFieldId="5"/>
    <tableColumn id="6" xr3:uid="{0CB96A4A-4869-451D-B380-FC0561B6D04B}" uniqueName="6" name="SCIENC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9A60-20DD-4BBC-A325-17CA8EADA6CA}">
  <sheetPr codeName="Sheet1"/>
  <dimension ref="A4:F15"/>
  <sheetViews>
    <sheetView workbookViewId="0">
      <selection activeCell="A6" sqref="A6"/>
    </sheetView>
  </sheetViews>
  <sheetFormatPr defaultRowHeight="14.4"/>
  <cols>
    <col min="4" max="4" width="12.44140625" bestFit="1" customWidth="1"/>
    <col min="6" max="6" width="12.109375" bestFit="1" customWidth="1"/>
  </cols>
  <sheetData>
    <row r="4" spans="1:6">
      <c r="A4">
        <v>3</v>
      </c>
      <c r="D4" t="s">
        <v>0</v>
      </c>
      <c r="F4" t="s">
        <v>7</v>
      </c>
    </row>
    <row r="5" spans="1:6">
      <c r="A5">
        <v>4</v>
      </c>
      <c r="D5" t="s">
        <v>1</v>
      </c>
      <c r="F5" t="s">
        <v>8</v>
      </c>
    </row>
    <row r="6" spans="1:6">
      <c r="A6">
        <f>SUM(A4,A5)</f>
        <v>7</v>
      </c>
      <c r="D6" t="s">
        <v>2</v>
      </c>
      <c r="F6" t="s">
        <v>9</v>
      </c>
    </row>
    <row r="7" spans="1:6">
      <c r="D7" t="s">
        <v>3</v>
      </c>
      <c r="F7" t="s">
        <v>10</v>
      </c>
    </row>
    <row r="8" spans="1:6">
      <c r="D8" t="s">
        <v>4</v>
      </c>
      <c r="F8" t="s">
        <v>11</v>
      </c>
    </row>
    <row r="9" spans="1:6">
      <c r="D9" t="s">
        <v>5</v>
      </c>
      <c r="F9" t="s">
        <v>12</v>
      </c>
    </row>
    <row r="10" spans="1:6">
      <c r="D10" t="s">
        <v>6</v>
      </c>
      <c r="F10" t="s">
        <v>13</v>
      </c>
    </row>
    <row r="11" spans="1:6">
      <c r="F11" t="s">
        <v>14</v>
      </c>
    </row>
    <row r="12" spans="1:6">
      <c r="F12" t="s">
        <v>15</v>
      </c>
    </row>
    <row r="13" spans="1:6">
      <c r="F13" t="s">
        <v>16</v>
      </c>
    </row>
    <row r="14" spans="1:6">
      <c r="F14" t="s">
        <v>17</v>
      </c>
    </row>
    <row r="15" spans="1:6">
      <c r="F15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DAC1-46B8-421A-ACF1-B5E145889238}">
  <sheetPr codeName="XLSTAT_20260730_142043_1_HID1"/>
  <dimension ref="A1:D4"/>
  <sheetViews>
    <sheetView workbookViewId="0">
      <selection activeCell="C1" sqref="C1"/>
    </sheetView>
  </sheetViews>
  <sheetFormatPr defaultRowHeight="14.4"/>
  <sheetData>
    <row r="1" spans="1:4">
      <c r="A1">
        <v>1.3009506177699834</v>
      </c>
      <c r="B1">
        <v>-1.7895959870207003</v>
      </c>
      <c r="C1">
        <v>1.5587157674606946</v>
      </c>
      <c r="D1">
        <v>-1.4835586606057851</v>
      </c>
    </row>
    <row r="2" spans="1:4">
      <c r="A2">
        <v>1.9187036709529504</v>
      </c>
      <c r="B2">
        <v>1.2931712117498688</v>
      </c>
      <c r="C2">
        <v>-2.4251398997893272</v>
      </c>
      <c r="D2">
        <v>-0.61764190022634569</v>
      </c>
    </row>
    <row r="3" spans="1:4">
      <c r="A3">
        <v>-1.1397375501158102</v>
      </c>
      <c r="B3">
        <v>2.0670670654813219</v>
      </c>
      <c r="C3">
        <v>0.26810397829338883</v>
      </c>
      <c r="D3">
        <v>1.3403715974941672</v>
      </c>
    </row>
    <row r="4" spans="1:4">
      <c r="A4">
        <v>1.9401119198314616</v>
      </c>
      <c r="B4">
        <v>1.1354384168961977</v>
      </c>
      <c r="C4">
        <v>0.59832015403524419</v>
      </c>
      <c r="D4">
        <v>0.76082896333796302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E582-4F36-4262-B776-985AF2806B9B}">
  <sheetPr codeName="XLSTAT_20260730_142043_1_HID"/>
  <dimension ref="A1:B4"/>
  <sheetViews>
    <sheetView workbookViewId="0"/>
  </sheetViews>
  <sheetFormatPr defaultRowHeight="14.4"/>
  <sheetData>
    <row r="1" spans="1:2">
      <c r="A1">
        <v>1.5587157674606946</v>
      </c>
      <c r="B1">
        <v>-1.4835586606057851</v>
      </c>
    </row>
    <row r="2" spans="1:2">
      <c r="A2">
        <v>-2.4251398997893272</v>
      </c>
      <c r="B2">
        <v>-0.61764190022634569</v>
      </c>
    </row>
    <row r="3" spans="1:2">
      <c r="A3">
        <v>0.26810397829338883</v>
      </c>
      <c r="B3">
        <v>1.3403715974941672</v>
      </c>
    </row>
    <row r="4" spans="1:2">
      <c r="A4">
        <v>0.59832015403524419</v>
      </c>
      <c r="B4">
        <v>0.76082896333796302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C2F3-F27E-4B9D-9DBC-6742162E00CA}">
  <sheetPr codeName="Sheet2"/>
  <dimension ref="A1:F14"/>
  <sheetViews>
    <sheetView workbookViewId="0">
      <selection activeCell="G19" sqref="G19"/>
    </sheetView>
  </sheetViews>
  <sheetFormatPr defaultRowHeight="14.4"/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6">
      <c r="A3">
        <v>2</v>
      </c>
      <c r="B3" t="s">
        <v>26</v>
      </c>
      <c r="C3">
        <v>96</v>
      </c>
      <c r="D3">
        <v>94</v>
      </c>
      <c r="E3">
        <v>86</v>
      </c>
      <c r="F3">
        <v>95</v>
      </c>
    </row>
    <row r="4" spans="1:6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6">
      <c r="A5">
        <v>4</v>
      </c>
      <c r="B5" t="s">
        <v>28</v>
      </c>
      <c r="C5">
        <v>91</v>
      </c>
      <c r="D5">
        <v>96</v>
      </c>
      <c r="E5">
        <v>95</v>
      </c>
      <c r="F5">
        <v>95</v>
      </c>
    </row>
    <row r="6" spans="1:6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9" spans="1:6">
      <c r="B9" t="s">
        <v>30</v>
      </c>
      <c r="C9">
        <f>MAX(C2:C6)</f>
        <v>96</v>
      </c>
      <c r="D9">
        <f t="shared" ref="D9:F9" si="0">MAX(D2:D6)</f>
        <v>99</v>
      </c>
      <c r="E9">
        <f t="shared" si="0"/>
        <v>98</v>
      </c>
      <c r="F9">
        <f t="shared" si="0"/>
        <v>97</v>
      </c>
    </row>
    <row r="10" spans="1:6">
      <c r="B10" t="s">
        <v>31</v>
      </c>
      <c r="C10">
        <f>MIN(C2:C6)</f>
        <v>88</v>
      </c>
      <c r="D10">
        <f t="shared" ref="D10:F10" si="1">MIN(D2:D6)</f>
        <v>86</v>
      </c>
      <c r="E10">
        <f t="shared" si="1"/>
        <v>86</v>
      </c>
      <c r="F10">
        <f t="shared" si="1"/>
        <v>89</v>
      </c>
    </row>
    <row r="11" spans="1:6">
      <c r="B11" t="s">
        <v>32</v>
      </c>
      <c r="C11">
        <f>AVERAGE(C2:C6)</f>
        <v>90.8</v>
      </c>
      <c r="D11">
        <f t="shared" ref="D11:F11" si="2">AVERAGE(D2:D6)</f>
        <v>93.8</v>
      </c>
      <c r="E11">
        <f t="shared" si="2"/>
        <v>92</v>
      </c>
      <c r="F11">
        <f t="shared" si="2"/>
        <v>93.4</v>
      </c>
    </row>
    <row r="12" spans="1:6">
      <c r="B12" t="s">
        <v>33</v>
      </c>
      <c r="C12">
        <f>SUM(C2:C6)</f>
        <v>454</v>
      </c>
      <c r="D12">
        <f t="shared" ref="D12:F12" si="3">SUM(D2:D6)</f>
        <v>469</v>
      </c>
      <c r="E12">
        <f t="shared" si="3"/>
        <v>460</v>
      </c>
      <c r="F12">
        <f t="shared" si="3"/>
        <v>467</v>
      </c>
    </row>
    <row r="13" spans="1:6">
      <c r="B13" t="s">
        <v>34</v>
      </c>
      <c r="C13">
        <f>SQRT(C9)</f>
        <v>9.7979589711327115</v>
      </c>
      <c r="D13">
        <f t="shared" ref="D13:F13" si="4">SQRT(D9)</f>
        <v>9.9498743710661994</v>
      </c>
      <c r="E13">
        <f t="shared" si="4"/>
        <v>9.8994949366116654</v>
      </c>
      <c r="F13">
        <f t="shared" si="4"/>
        <v>9.8488578017961039</v>
      </c>
    </row>
    <row r="14" spans="1:6">
      <c r="B14" t="s">
        <v>35</v>
      </c>
      <c r="C14">
        <f>ROUND(C13,1)</f>
        <v>9.8000000000000007</v>
      </c>
      <c r="D14">
        <f t="shared" ref="D14:F14" si="5">ROUND(D13,1)</f>
        <v>9.9</v>
      </c>
      <c r="E14">
        <f t="shared" si="5"/>
        <v>9.9</v>
      </c>
      <c r="F14">
        <f t="shared" si="5"/>
        <v>9.8000000000000007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B14E-6064-4195-9328-E609D3CB7A79}">
  <sheetPr codeName="Sheet3"/>
  <dimension ref="A1:F14"/>
  <sheetViews>
    <sheetView workbookViewId="0">
      <selection activeCell="H26" sqref="H26"/>
    </sheetView>
  </sheetViews>
  <sheetFormatPr defaultRowHeight="14.4"/>
  <cols>
    <col min="1" max="1" width="9.6640625" bestFit="1" customWidth="1"/>
    <col min="2" max="2" width="8.77734375" bestFit="1" customWidth="1"/>
    <col min="3" max="6" width="12" bestFit="1" customWidth="1"/>
  </cols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6">
      <c r="A3">
        <v>2</v>
      </c>
      <c r="B3" t="s">
        <v>26</v>
      </c>
      <c r="C3">
        <v>96</v>
      </c>
      <c r="D3">
        <v>94</v>
      </c>
      <c r="E3">
        <v>86</v>
      </c>
      <c r="F3">
        <v>95</v>
      </c>
    </row>
    <row r="4" spans="1:6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6">
      <c r="A5">
        <v>4</v>
      </c>
      <c r="B5" t="s">
        <v>28</v>
      </c>
      <c r="C5">
        <v>91</v>
      </c>
      <c r="D5">
        <v>96</v>
      </c>
      <c r="E5">
        <v>95</v>
      </c>
      <c r="F5">
        <v>95</v>
      </c>
    </row>
    <row r="6" spans="1:6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7" spans="1:6">
      <c r="B7" t="s">
        <v>36</v>
      </c>
    </row>
    <row r="8" spans="1:6">
      <c r="B8" t="s">
        <v>36</v>
      </c>
    </row>
    <row r="9" spans="1:6">
      <c r="B9" t="s">
        <v>30</v>
      </c>
      <c r="C9">
        <v>96</v>
      </c>
      <c r="D9">
        <v>99</v>
      </c>
      <c r="E9">
        <v>98</v>
      </c>
      <c r="F9">
        <v>97</v>
      </c>
    </row>
    <row r="10" spans="1:6">
      <c r="B10" t="s">
        <v>31</v>
      </c>
      <c r="C10">
        <v>88</v>
      </c>
      <c r="D10">
        <v>86</v>
      </c>
      <c r="E10">
        <v>86</v>
      </c>
      <c r="F10">
        <v>89</v>
      </c>
    </row>
    <row r="11" spans="1:6">
      <c r="B11" t="s">
        <v>32</v>
      </c>
      <c r="C11">
        <v>90.8</v>
      </c>
      <c r="D11">
        <v>93.8</v>
      </c>
      <c r="E11">
        <v>92</v>
      </c>
      <c r="F11">
        <v>93.4</v>
      </c>
    </row>
    <row r="12" spans="1:6">
      <c r="B12" t="s">
        <v>33</v>
      </c>
      <c r="C12">
        <v>454</v>
      </c>
      <c r="D12">
        <v>469</v>
      </c>
      <c r="E12">
        <v>460</v>
      </c>
      <c r="F12">
        <v>467</v>
      </c>
    </row>
    <row r="13" spans="1:6">
      <c r="B13" t="s">
        <v>34</v>
      </c>
      <c r="C13">
        <v>9.7979589709999999</v>
      </c>
      <c r="D13">
        <v>9.9498743709999999</v>
      </c>
      <c r="E13">
        <v>9.899494937</v>
      </c>
      <c r="F13">
        <v>9.8488578019999995</v>
      </c>
    </row>
    <row r="14" spans="1:6">
      <c r="B14" t="s">
        <v>35</v>
      </c>
      <c r="C14">
        <v>9.8000000000000007</v>
      </c>
      <c r="D14">
        <v>9.9</v>
      </c>
      <c r="E14">
        <v>9.9</v>
      </c>
      <c r="F14">
        <v>9.8000000000000007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6090-676E-41D7-A01F-D424A8803528}">
  <sheetPr codeName="Sheet4"/>
  <dimension ref="A1:H16"/>
  <sheetViews>
    <sheetView workbookViewId="0">
      <selection sqref="A1:H16"/>
    </sheetView>
  </sheetViews>
  <sheetFormatPr defaultRowHeight="14.4"/>
  <sheetData>
    <row r="1" spans="1:8">
      <c r="A1" s="2" t="s">
        <v>37</v>
      </c>
      <c r="B1" s="2"/>
      <c r="C1" s="2" t="s">
        <v>38</v>
      </c>
      <c r="D1" s="2"/>
      <c r="E1" s="2" t="s">
        <v>39</v>
      </c>
      <c r="F1" s="2"/>
      <c r="G1" s="2" t="s">
        <v>40</v>
      </c>
      <c r="H1" s="2"/>
    </row>
    <row r="3" spans="1:8">
      <c r="A3" t="s">
        <v>41</v>
      </c>
      <c r="B3">
        <v>90.8</v>
      </c>
      <c r="C3" t="s">
        <v>41</v>
      </c>
      <c r="D3">
        <v>93.8</v>
      </c>
      <c r="E3" t="s">
        <v>41</v>
      </c>
      <c r="F3">
        <v>92</v>
      </c>
      <c r="G3" t="s">
        <v>41</v>
      </c>
      <c r="H3">
        <v>93.4</v>
      </c>
    </row>
    <row r="4" spans="1:8">
      <c r="A4" t="s">
        <v>42</v>
      </c>
      <c r="B4">
        <v>1.3928388277184121</v>
      </c>
      <c r="C4" t="s">
        <v>42</v>
      </c>
      <c r="D4">
        <v>2.1540659228538015</v>
      </c>
      <c r="E4" t="s">
        <v>42</v>
      </c>
      <c r="F4">
        <v>2.1213203435596424</v>
      </c>
      <c r="G4" t="s">
        <v>42</v>
      </c>
      <c r="H4">
        <v>1.4696938456699067</v>
      </c>
    </row>
    <row r="5" spans="1:8">
      <c r="A5" t="s">
        <v>43</v>
      </c>
      <c r="B5">
        <v>90</v>
      </c>
      <c r="C5" t="s">
        <v>43</v>
      </c>
      <c r="D5">
        <v>94</v>
      </c>
      <c r="E5" t="s">
        <v>43</v>
      </c>
      <c r="F5">
        <v>92</v>
      </c>
      <c r="G5" t="s">
        <v>43</v>
      </c>
      <c r="H5">
        <v>95</v>
      </c>
    </row>
    <row r="6" spans="1:8">
      <c r="A6" t="s">
        <v>44</v>
      </c>
      <c r="B6" t="e">
        <v>#N/A</v>
      </c>
      <c r="C6" t="s">
        <v>44</v>
      </c>
      <c r="D6">
        <v>94</v>
      </c>
      <c r="E6" t="s">
        <v>44</v>
      </c>
      <c r="F6" t="e">
        <v>#N/A</v>
      </c>
      <c r="G6" t="s">
        <v>44</v>
      </c>
      <c r="H6">
        <v>95</v>
      </c>
    </row>
    <row r="7" spans="1:8">
      <c r="A7" t="s">
        <v>45</v>
      </c>
      <c r="B7">
        <v>3.1144823004794877</v>
      </c>
      <c r="C7" t="s">
        <v>45</v>
      </c>
      <c r="D7">
        <v>4.8166378315169185</v>
      </c>
      <c r="E7" t="s">
        <v>45</v>
      </c>
      <c r="F7">
        <v>4.7434164902525691</v>
      </c>
      <c r="G7" t="s">
        <v>45</v>
      </c>
      <c r="H7">
        <v>3.2863353450309964</v>
      </c>
    </row>
    <row r="8" spans="1:8">
      <c r="A8" t="s">
        <v>46</v>
      </c>
      <c r="B8">
        <v>9.7000000000000011</v>
      </c>
      <c r="C8" t="s">
        <v>46</v>
      </c>
      <c r="D8">
        <v>23.200000000000003</v>
      </c>
      <c r="E8" t="s">
        <v>46</v>
      </c>
      <c r="F8">
        <v>22.5</v>
      </c>
      <c r="G8" t="s">
        <v>46</v>
      </c>
      <c r="H8">
        <v>10.799999999999999</v>
      </c>
    </row>
    <row r="9" spans="1:8">
      <c r="A9" t="s">
        <v>47</v>
      </c>
      <c r="B9">
        <v>2.6750983101286163</v>
      </c>
      <c r="C9" t="s">
        <v>47</v>
      </c>
      <c r="D9">
        <v>2.3487663495838174</v>
      </c>
      <c r="E9" t="s">
        <v>47</v>
      </c>
      <c r="F9">
        <v>-1.1999999999999984</v>
      </c>
      <c r="G9" t="s">
        <v>47</v>
      </c>
      <c r="H9">
        <v>-1.6872427983538971</v>
      </c>
    </row>
    <row r="10" spans="1:8">
      <c r="A10" t="s">
        <v>48</v>
      </c>
      <c r="B10">
        <v>1.5491313812566738</v>
      </c>
      <c r="C10" t="s">
        <v>48</v>
      </c>
      <c r="D10">
        <v>-1.2054122991701233</v>
      </c>
      <c r="E10" t="s">
        <v>48</v>
      </c>
      <c r="F10">
        <v>0</v>
      </c>
      <c r="G10" t="s">
        <v>48</v>
      </c>
      <c r="H10">
        <v>-0.51842052767979563</v>
      </c>
    </row>
    <row r="11" spans="1:8">
      <c r="A11" t="s">
        <v>49</v>
      </c>
      <c r="B11">
        <v>8</v>
      </c>
      <c r="C11" t="s">
        <v>49</v>
      </c>
      <c r="D11">
        <v>13</v>
      </c>
      <c r="E11" t="s">
        <v>49</v>
      </c>
      <c r="F11">
        <v>12</v>
      </c>
      <c r="G11" t="s">
        <v>49</v>
      </c>
      <c r="H11">
        <v>8</v>
      </c>
    </row>
    <row r="12" spans="1:8">
      <c r="A12" t="s">
        <v>50</v>
      </c>
      <c r="B12">
        <v>88</v>
      </c>
      <c r="C12" t="s">
        <v>50</v>
      </c>
      <c r="D12">
        <v>86</v>
      </c>
      <c r="E12" t="s">
        <v>50</v>
      </c>
      <c r="F12">
        <v>86</v>
      </c>
      <c r="G12" t="s">
        <v>50</v>
      </c>
      <c r="H12">
        <v>89</v>
      </c>
    </row>
    <row r="13" spans="1:8">
      <c r="A13" t="s">
        <v>51</v>
      </c>
      <c r="B13">
        <v>96</v>
      </c>
      <c r="C13" t="s">
        <v>51</v>
      </c>
      <c r="D13">
        <v>99</v>
      </c>
      <c r="E13" t="s">
        <v>51</v>
      </c>
      <c r="F13">
        <v>98</v>
      </c>
      <c r="G13" t="s">
        <v>51</v>
      </c>
      <c r="H13">
        <v>97</v>
      </c>
    </row>
    <row r="14" spans="1:8">
      <c r="A14" t="s">
        <v>52</v>
      </c>
      <c r="B14">
        <v>454</v>
      </c>
      <c r="C14" t="s">
        <v>52</v>
      </c>
      <c r="D14">
        <v>469</v>
      </c>
      <c r="E14" t="s">
        <v>52</v>
      </c>
      <c r="F14">
        <v>460</v>
      </c>
      <c r="G14" t="s">
        <v>52</v>
      </c>
      <c r="H14">
        <v>467</v>
      </c>
    </row>
    <row r="15" spans="1:8">
      <c r="A15" t="s">
        <v>53</v>
      </c>
      <c r="B15">
        <v>5</v>
      </c>
      <c r="C15" t="s">
        <v>53</v>
      </c>
      <c r="D15">
        <v>5</v>
      </c>
      <c r="E15" t="s">
        <v>53</v>
      </c>
      <c r="F15">
        <v>5</v>
      </c>
      <c r="G15" t="s">
        <v>53</v>
      </c>
      <c r="H15">
        <v>5</v>
      </c>
    </row>
    <row r="16" spans="1:8" ht="15" thickBot="1">
      <c r="A16" s="1" t="s">
        <v>54</v>
      </c>
      <c r="B16" s="1">
        <v>3.8671405455482173</v>
      </c>
      <c r="C16" s="1" t="s">
        <v>54</v>
      </c>
      <c r="D16" s="1">
        <v>5.9806457877808041</v>
      </c>
      <c r="E16" s="1" t="s">
        <v>54</v>
      </c>
      <c r="F16" s="1">
        <v>5.88972948443267</v>
      </c>
      <c r="G16" s="1" t="s">
        <v>54</v>
      </c>
      <c r="H16" s="1">
        <v>4.0805242839495328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0A18-8377-4A41-B840-F76F72A671A5}">
  <sheetPr codeName="Sheet5"/>
  <dimension ref="A1:C12"/>
  <sheetViews>
    <sheetView workbookViewId="0">
      <selection sqref="A1:C12"/>
    </sheetView>
  </sheetViews>
  <sheetFormatPr defaultRowHeight="14.4"/>
  <sheetData>
    <row r="1" spans="1:3">
      <c r="A1" t="s">
        <v>55</v>
      </c>
    </row>
    <row r="2" spans="1:3" ht="15" thickBot="1"/>
    <row r="3" spans="1:3">
      <c r="A3" s="2"/>
      <c r="B3" s="2" t="s">
        <v>56</v>
      </c>
      <c r="C3" s="2" t="s">
        <v>57</v>
      </c>
    </row>
    <row r="4" spans="1:3">
      <c r="A4" t="s">
        <v>41</v>
      </c>
      <c r="B4">
        <v>90.8</v>
      </c>
      <c r="C4">
        <v>93.4</v>
      </c>
    </row>
    <row r="5" spans="1:3">
      <c r="A5" t="s">
        <v>58</v>
      </c>
      <c r="B5">
        <v>0.5</v>
      </c>
      <c r="C5">
        <v>0.5</v>
      </c>
    </row>
    <row r="6" spans="1:3">
      <c r="A6" t="s">
        <v>59</v>
      </c>
      <c r="B6">
        <v>5</v>
      </c>
      <c r="C6">
        <v>5</v>
      </c>
    </row>
    <row r="7" spans="1:3">
      <c r="A7" t="s">
        <v>60</v>
      </c>
      <c r="B7">
        <v>0</v>
      </c>
    </row>
    <row r="8" spans="1:3">
      <c r="A8" t="s">
        <v>61</v>
      </c>
      <c r="B8">
        <v>-5.8137767414994723</v>
      </c>
    </row>
    <row r="9" spans="1:3">
      <c r="A9" t="s">
        <v>62</v>
      </c>
      <c r="B9">
        <v>3.0539432094300878E-9</v>
      </c>
    </row>
    <row r="10" spans="1:3">
      <c r="A10" t="s">
        <v>63</v>
      </c>
      <c r="B10">
        <v>1.6448536269514715</v>
      </c>
    </row>
    <row r="11" spans="1:3">
      <c r="A11" t="s">
        <v>64</v>
      </c>
      <c r="B11">
        <v>6.1078864188601756E-9</v>
      </c>
    </row>
    <row r="12" spans="1:3" ht="15" thickBot="1">
      <c r="A12" s="1" t="s">
        <v>65</v>
      </c>
      <c r="B12" s="1">
        <v>1.9599639845400536</v>
      </c>
      <c r="C1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73A8-9B8E-4FD9-8F35-1DB3551F6D07}">
  <sheetPr codeName="Sheet6"/>
  <dimension ref="A1:C14"/>
  <sheetViews>
    <sheetView workbookViewId="0">
      <selection sqref="A1:C14"/>
    </sheetView>
  </sheetViews>
  <sheetFormatPr defaultRowHeight="14.4"/>
  <sheetData>
    <row r="1" spans="1:3">
      <c r="A1" t="s">
        <v>66</v>
      </c>
    </row>
    <row r="2" spans="1:3" ht="15" thickBot="1"/>
    <row r="3" spans="1:3">
      <c r="A3" s="2"/>
      <c r="B3" s="2" t="s">
        <v>56</v>
      </c>
      <c r="C3" s="2" t="s">
        <v>57</v>
      </c>
    </row>
    <row r="4" spans="1:3">
      <c r="A4" t="s">
        <v>41</v>
      </c>
      <c r="B4">
        <v>90.8</v>
      </c>
      <c r="C4">
        <v>93.4</v>
      </c>
    </row>
    <row r="5" spans="1:3">
      <c r="A5" t="s">
        <v>67</v>
      </c>
      <c r="B5">
        <v>9.7000000000000011</v>
      </c>
      <c r="C5">
        <v>10.799999999999999</v>
      </c>
    </row>
    <row r="6" spans="1:3">
      <c r="A6" t="s">
        <v>59</v>
      </c>
      <c r="B6">
        <v>5</v>
      </c>
      <c r="C6">
        <v>5</v>
      </c>
    </row>
    <row r="7" spans="1:3">
      <c r="A7" t="s">
        <v>68</v>
      </c>
      <c r="B7">
        <v>0.20517363361619229</v>
      </c>
    </row>
    <row r="8" spans="1:3">
      <c r="A8" t="s">
        <v>60</v>
      </c>
      <c r="B8">
        <v>0</v>
      </c>
    </row>
    <row r="9" spans="1:3">
      <c r="A9" t="s">
        <v>69</v>
      </c>
      <c r="B9">
        <v>4</v>
      </c>
    </row>
    <row r="10" spans="1:3">
      <c r="A10" t="s">
        <v>70</v>
      </c>
      <c r="B10">
        <v>-1.4400068166164497</v>
      </c>
    </row>
    <row r="11" spans="1:3">
      <c r="A11" t="s">
        <v>71</v>
      </c>
      <c r="B11">
        <v>0.1116427189555169</v>
      </c>
    </row>
    <row r="12" spans="1:3">
      <c r="A12" t="s">
        <v>72</v>
      </c>
      <c r="B12">
        <v>2.1318467863266499</v>
      </c>
    </row>
    <row r="13" spans="1:3">
      <c r="A13" t="s">
        <v>73</v>
      </c>
      <c r="B13">
        <v>0.22328543791103381</v>
      </c>
    </row>
    <row r="14" spans="1:3" ht="15" thickBot="1">
      <c r="A14" s="1" t="s">
        <v>74</v>
      </c>
      <c r="B14" s="1">
        <v>2.7764451051977934</v>
      </c>
      <c r="C1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36F0-76AF-4801-B1B5-BF5D5C24FC7B}">
  <sheetPr codeName="Sheet7"/>
  <dimension ref="A1:G16"/>
  <sheetViews>
    <sheetView workbookViewId="0">
      <selection activeCell="H16" sqref="H16"/>
    </sheetView>
  </sheetViews>
  <sheetFormatPr defaultRowHeight="14.4"/>
  <sheetData>
    <row r="1" spans="1:7">
      <c r="A1" t="s">
        <v>75</v>
      </c>
    </row>
    <row r="3" spans="1:7" ht="15" thickBot="1">
      <c r="A3" t="s">
        <v>76</v>
      </c>
    </row>
    <row r="4" spans="1:7">
      <c r="A4" s="2" t="s">
        <v>77</v>
      </c>
      <c r="B4" s="2" t="s">
        <v>53</v>
      </c>
      <c r="C4" s="2" t="s">
        <v>52</v>
      </c>
      <c r="D4" s="2" t="s">
        <v>78</v>
      </c>
      <c r="E4" s="2" t="s">
        <v>67</v>
      </c>
    </row>
    <row r="5" spans="1:7">
      <c r="A5" t="s">
        <v>79</v>
      </c>
      <c r="B5">
        <v>5</v>
      </c>
      <c r="C5">
        <v>454</v>
      </c>
      <c r="D5">
        <v>90.8</v>
      </c>
      <c r="E5">
        <v>9.7000000000000011</v>
      </c>
    </row>
    <row r="6" spans="1:7">
      <c r="A6" t="s">
        <v>80</v>
      </c>
      <c r="B6">
        <v>5</v>
      </c>
      <c r="C6">
        <v>469</v>
      </c>
      <c r="D6">
        <v>93.8</v>
      </c>
      <c r="E6">
        <v>23.200000000000003</v>
      </c>
    </row>
    <row r="7" spans="1:7">
      <c r="A7" t="s">
        <v>81</v>
      </c>
      <c r="B7">
        <v>5</v>
      </c>
      <c r="C7">
        <v>460</v>
      </c>
      <c r="D7">
        <v>92</v>
      </c>
      <c r="E7">
        <v>22.5</v>
      </c>
    </row>
    <row r="8" spans="1:7" ht="15" thickBot="1">
      <c r="A8" s="1" t="s">
        <v>82</v>
      </c>
      <c r="B8" s="1">
        <v>5</v>
      </c>
      <c r="C8" s="1">
        <v>467</v>
      </c>
      <c r="D8" s="1">
        <v>93.4</v>
      </c>
      <c r="E8" s="1">
        <v>10.799999999999999</v>
      </c>
    </row>
    <row r="11" spans="1:7" ht="15" thickBot="1">
      <c r="A11" t="s">
        <v>83</v>
      </c>
    </row>
    <row r="12" spans="1:7">
      <c r="A12" s="2" t="s">
        <v>84</v>
      </c>
      <c r="B12" s="2" t="s">
        <v>85</v>
      </c>
      <c r="C12" s="2" t="s">
        <v>69</v>
      </c>
      <c r="D12" s="2" t="s">
        <v>86</v>
      </c>
      <c r="E12" s="2" t="s">
        <v>87</v>
      </c>
      <c r="F12" s="2" t="s">
        <v>88</v>
      </c>
      <c r="G12" s="2" t="s">
        <v>89</v>
      </c>
    </row>
    <row r="13" spans="1:7">
      <c r="A13" t="s">
        <v>90</v>
      </c>
      <c r="B13">
        <v>28.199999999999989</v>
      </c>
      <c r="C13">
        <v>3</v>
      </c>
      <c r="D13">
        <v>9.3999999999999968</v>
      </c>
      <c r="E13">
        <v>0.56797583081570979</v>
      </c>
      <c r="F13">
        <v>0.6440578971223756</v>
      </c>
      <c r="G13">
        <v>3.2388715174535854</v>
      </c>
    </row>
    <row r="14" spans="1:7">
      <c r="A14" t="s">
        <v>91</v>
      </c>
      <c r="B14">
        <v>264.8</v>
      </c>
      <c r="C14">
        <v>16</v>
      </c>
      <c r="D14">
        <v>16.55</v>
      </c>
    </row>
    <row r="16" spans="1:7" ht="15" thickBot="1">
      <c r="A16" s="1" t="s">
        <v>92</v>
      </c>
      <c r="B16" s="1">
        <v>293</v>
      </c>
      <c r="C16" s="1">
        <v>19</v>
      </c>
      <c r="D16" s="1"/>
      <c r="E16" s="1"/>
      <c r="F16" s="1"/>
      <c r="G1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04D8-F3C8-4393-A874-8C3EA62D11D7}">
  <sheetPr codeName="Sheet8"/>
  <dimension ref="A1:G17"/>
  <sheetViews>
    <sheetView workbookViewId="0">
      <selection activeCell="K26" sqref="K26"/>
    </sheetView>
  </sheetViews>
  <sheetFormatPr defaultRowHeight="14.4"/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7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7">
      <c r="A3">
        <v>2</v>
      </c>
      <c r="B3" t="s">
        <v>26</v>
      </c>
      <c r="C3">
        <v>96</v>
      </c>
      <c r="D3">
        <v>94</v>
      </c>
      <c r="F3">
        <v>95</v>
      </c>
    </row>
    <row r="4" spans="1:7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7">
      <c r="A5">
        <v>4</v>
      </c>
      <c r="B5" t="s">
        <v>28</v>
      </c>
      <c r="C5">
        <v>91</v>
      </c>
      <c r="D5">
        <v>96</v>
      </c>
      <c r="E5">
        <v>95</v>
      </c>
    </row>
    <row r="6" spans="1:7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12" spans="1:7" ht="15.6">
      <c r="F12" s="3" t="s">
        <v>93</v>
      </c>
    </row>
    <row r="13" spans="1:7" ht="15.6">
      <c r="F13" s="4">
        <f t="array" ref="F13:G17">_xll.MissingDataFill('EXP 5'!$E$2:$F$6, 0)</f>
        <v>98</v>
      </c>
      <c r="G13" s="4">
        <v>91</v>
      </c>
    </row>
    <row r="14" spans="1:7" ht="15.6">
      <c r="F14" s="4">
        <v>93.5</v>
      </c>
      <c r="G14" s="4">
        <v>95</v>
      </c>
    </row>
    <row r="15" spans="1:7" ht="15.6">
      <c r="F15" s="4">
        <v>92</v>
      </c>
      <c r="G15" s="4">
        <v>89</v>
      </c>
    </row>
    <row r="16" spans="1:7" ht="15.6">
      <c r="F16" s="4">
        <v>95</v>
      </c>
      <c r="G16" s="4">
        <v>93</v>
      </c>
    </row>
    <row r="17" spans="6:7" ht="15.6">
      <c r="F17" s="4">
        <v>89</v>
      </c>
      <c r="G17" s="4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225C-CDFA-4774-BC81-C753000AC5CB}">
  <sheetPr codeName="XLSTAT_20260730_142043_1">
    <tabColor rgb="FF007800"/>
  </sheetPr>
  <dimension ref="B1:M194"/>
  <sheetViews>
    <sheetView zoomScaleNormal="100" workbookViewId="0">
      <selection activeCell="M180" sqref="M180"/>
    </sheetView>
  </sheetViews>
  <sheetFormatPr defaultRowHeight="14.4"/>
  <cols>
    <col min="1" max="1" width="4.77734375" customWidth="1"/>
  </cols>
  <sheetData>
    <row r="1" spans="2:13">
      <c r="B1" s="31" t="s">
        <v>94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5"/>
    </row>
    <row r="2" spans="2:13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5"/>
    </row>
    <row r="3" spans="2:13">
      <c r="B3" t="s">
        <v>134</v>
      </c>
    </row>
    <row r="4" spans="2:13">
      <c r="B4" t="s">
        <v>95</v>
      </c>
    </row>
    <row r="5" spans="2:13">
      <c r="B5" t="s">
        <v>96</v>
      </c>
    </row>
    <row r="6" spans="2:13">
      <c r="B6" t="s">
        <v>97</v>
      </c>
    </row>
    <row r="7" spans="2:13">
      <c r="B7" t="s">
        <v>98</v>
      </c>
    </row>
    <row r="8" spans="2:13">
      <c r="B8" t="s">
        <v>99</v>
      </c>
    </row>
    <row r="9" spans="2:13" ht="37.950000000000003" customHeight="1"/>
    <row r="10" spans="2:13" ht="15.6" customHeight="1">
      <c r="B10" s="30"/>
    </row>
    <row r="13" spans="2:13">
      <c r="B13" t="s">
        <v>100</v>
      </c>
    </row>
    <row r="14" spans="2:13" ht="15" thickBot="1"/>
    <row r="15" spans="2:13">
      <c r="B15" s="9" t="s">
        <v>101</v>
      </c>
      <c r="C15" s="10" t="s">
        <v>59</v>
      </c>
      <c r="D15" s="10" t="s">
        <v>102</v>
      </c>
      <c r="E15" s="10" t="s">
        <v>103</v>
      </c>
      <c r="F15" s="10" t="s">
        <v>50</v>
      </c>
      <c r="G15" s="10" t="s">
        <v>51</v>
      </c>
      <c r="H15" s="10" t="s">
        <v>41</v>
      </c>
      <c r="I15" s="10" t="s">
        <v>104</v>
      </c>
    </row>
    <row r="16" spans="2:13">
      <c r="B16" s="11" t="s">
        <v>105</v>
      </c>
      <c r="C16" s="13">
        <v>4</v>
      </c>
      <c r="D16" s="13">
        <v>0</v>
      </c>
      <c r="E16" s="13">
        <v>4</v>
      </c>
      <c r="F16" s="16">
        <v>88</v>
      </c>
      <c r="G16" s="16">
        <v>96</v>
      </c>
      <c r="H16" s="16">
        <v>91</v>
      </c>
      <c r="I16" s="16">
        <v>3.5590260840104371</v>
      </c>
    </row>
    <row r="17" spans="2:9">
      <c r="B17" s="8" t="s">
        <v>106</v>
      </c>
      <c r="C17" s="14">
        <v>4</v>
      </c>
      <c r="D17" s="14">
        <v>0</v>
      </c>
      <c r="E17" s="14">
        <v>4</v>
      </c>
      <c r="F17" s="17">
        <v>86</v>
      </c>
      <c r="G17" s="17">
        <v>96</v>
      </c>
      <c r="H17" s="17">
        <v>92.5</v>
      </c>
      <c r="I17" s="17">
        <v>4.4347115652166904</v>
      </c>
    </row>
    <row r="18" spans="2:9">
      <c r="B18" s="8" t="s">
        <v>107</v>
      </c>
      <c r="C18" s="14">
        <v>4</v>
      </c>
      <c r="D18" s="14">
        <v>0</v>
      </c>
      <c r="E18" s="14">
        <v>4</v>
      </c>
      <c r="F18" s="17">
        <v>86</v>
      </c>
      <c r="G18" s="17">
        <v>95</v>
      </c>
      <c r="H18" s="17">
        <v>90.5</v>
      </c>
      <c r="I18" s="17">
        <v>3.872983346207417</v>
      </c>
    </row>
    <row r="19" spans="2:9" ht="15" thickBot="1">
      <c r="B19" s="12" t="s">
        <v>108</v>
      </c>
      <c r="C19" s="15">
        <v>4</v>
      </c>
      <c r="D19" s="15">
        <v>0</v>
      </c>
      <c r="E19" s="15">
        <v>4</v>
      </c>
      <c r="F19" s="18">
        <v>89</v>
      </c>
      <c r="G19" s="18">
        <v>97</v>
      </c>
      <c r="H19" s="18">
        <v>94</v>
      </c>
      <c r="I19" s="18">
        <v>3.4641016151377544</v>
      </c>
    </row>
    <row r="22" spans="2:9">
      <c r="B22" s="6" t="s">
        <v>109</v>
      </c>
    </row>
    <row r="24" spans="2:9">
      <c r="B24" t="s">
        <v>110</v>
      </c>
    </row>
    <row r="25" spans="2:9" ht="15" thickBot="1"/>
    <row r="26" spans="2:9">
      <c r="B26" s="19"/>
      <c r="C26" s="20" t="s">
        <v>111</v>
      </c>
      <c r="D26" s="20" t="s">
        <v>112</v>
      </c>
      <c r="E26" s="20" t="s">
        <v>113</v>
      </c>
    </row>
    <row r="27" spans="2:9">
      <c r="B27" s="21" t="s">
        <v>114</v>
      </c>
      <c r="C27" s="23">
        <v>2.1851912817955679</v>
      </c>
      <c r="D27" s="23">
        <v>1.2394711367991564</v>
      </c>
      <c r="E27" s="23">
        <v>0.5753375814052768</v>
      </c>
    </row>
    <row r="28" spans="2:9">
      <c r="B28" s="7" t="s">
        <v>115</v>
      </c>
      <c r="C28" s="24">
        <v>54.62978204488919</v>
      </c>
      <c r="D28" s="24">
        <v>30.986778419978904</v>
      </c>
      <c r="E28" s="24">
        <v>14.383439535131917</v>
      </c>
    </row>
    <row r="29" spans="2:9" ht="15" thickBot="1">
      <c r="B29" s="22" t="s">
        <v>116</v>
      </c>
      <c r="C29" s="25">
        <v>54.62978204488919</v>
      </c>
      <c r="D29" s="25">
        <v>85.616560464868087</v>
      </c>
      <c r="E29" s="25">
        <v>100</v>
      </c>
    </row>
    <row r="49" spans="2:7">
      <c r="G49" t="s">
        <v>117</v>
      </c>
    </row>
    <row r="52" spans="2:7">
      <c r="B52" t="s">
        <v>118</v>
      </c>
    </row>
    <row r="53" spans="2:7" ht="15" thickBot="1"/>
    <row r="54" spans="2:7">
      <c r="B54" s="19"/>
      <c r="C54" s="20" t="s">
        <v>111</v>
      </c>
      <c r="D54" s="20" t="s">
        <v>112</v>
      </c>
      <c r="E54" s="20" t="s">
        <v>113</v>
      </c>
    </row>
    <row r="55" spans="2:7">
      <c r="B55" s="21" t="s">
        <v>105</v>
      </c>
      <c r="C55" s="23">
        <v>0.4026932777640036</v>
      </c>
      <c r="D55" s="23">
        <v>-0.55394744738427115</v>
      </c>
      <c r="E55" s="23">
        <v>0.67906362618215854</v>
      </c>
    </row>
    <row r="56" spans="2:7">
      <c r="B56" s="7" t="s">
        <v>106</v>
      </c>
      <c r="C56" s="24">
        <v>0.59391114448164173</v>
      </c>
      <c r="D56" s="24">
        <v>0.4002852582231336</v>
      </c>
      <c r="E56" s="24">
        <v>0.23068969439049861</v>
      </c>
    </row>
    <row r="57" spans="2:7">
      <c r="B57" s="7" t="s">
        <v>107</v>
      </c>
      <c r="C57" s="24">
        <v>-0.35279175364364124</v>
      </c>
      <c r="D57" s="24">
        <v>0.63983521018156464</v>
      </c>
      <c r="E57" s="24">
        <v>0.61921587038581571</v>
      </c>
    </row>
    <row r="58" spans="2:7" ht="15" thickBot="1">
      <c r="B58" s="22" t="s">
        <v>108</v>
      </c>
      <c r="C58" s="25">
        <v>0.60053780485930686</v>
      </c>
      <c r="D58" s="25">
        <v>0.35146100978288086</v>
      </c>
      <c r="E58" s="25">
        <v>-0.31972888884286416</v>
      </c>
    </row>
    <row r="61" spans="2:7">
      <c r="B61" t="s">
        <v>119</v>
      </c>
    </row>
    <row r="62" spans="2:7" ht="15" thickBot="1"/>
    <row r="63" spans="2:7">
      <c r="B63" s="19"/>
      <c r="C63" s="20" t="s">
        <v>111</v>
      </c>
      <c r="D63" s="20" t="s">
        <v>112</v>
      </c>
      <c r="E63" s="20" t="s">
        <v>113</v>
      </c>
    </row>
    <row r="64" spans="2:7">
      <c r="B64" s="21" t="s">
        <v>105</v>
      </c>
      <c r="C64" s="23">
        <v>0.59527700911370507</v>
      </c>
      <c r="D64" s="23">
        <v>-0.61671821324653231</v>
      </c>
      <c r="E64" s="23">
        <v>0.51507662330050119</v>
      </c>
    </row>
    <row r="65" spans="2:5">
      <c r="B65" s="7" t="s">
        <v>106</v>
      </c>
      <c r="C65" s="24">
        <v>0.87794276509756042</v>
      </c>
      <c r="D65" s="24">
        <v>0.4456437346285842</v>
      </c>
      <c r="E65" s="24">
        <v>0.17498046462145272</v>
      </c>
    </row>
    <row r="66" spans="2:5">
      <c r="B66" s="7" t="s">
        <v>107</v>
      </c>
      <c r="C66" s="24">
        <v>-0.52151061749791727</v>
      </c>
      <c r="D66" s="24">
        <v>0.71233838057865961</v>
      </c>
      <c r="E66" s="24">
        <v>0.46968149568778444</v>
      </c>
    </row>
    <row r="67" spans="2:5" ht="15" thickBot="1">
      <c r="B67" s="22" t="s">
        <v>108</v>
      </c>
      <c r="C67" s="25">
        <v>0.88773855456773021</v>
      </c>
      <c r="D67" s="25">
        <v>0.39128694789121399</v>
      </c>
      <c r="E67" s="25">
        <v>-0.24251759347308513</v>
      </c>
    </row>
    <row r="70" spans="2:5">
      <c r="B70" t="s">
        <v>120</v>
      </c>
    </row>
    <row r="71" spans="2:5" ht="15" thickBot="1"/>
    <row r="72" spans="2:5">
      <c r="B72" s="19"/>
      <c r="C72" s="20" t="s">
        <v>111</v>
      </c>
      <c r="D72" s="20" t="s">
        <v>112</v>
      </c>
      <c r="E72" s="20" t="s">
        <v>113</v>
      </c>
    </row>
    <row r="73" spans="2:5">
      <c r="B73" s="21" t="s">
        <v>105</v>
      </c>
      <c r="C73" s="23">
        <v>0.59527700911370507</v>
      </c>
      <c r="D73" s="23">
        <v>-0.61671821324653231</v>
      </c>
      <c r="E73" s="23">
        <v>0.51507662330050119</v>
      </c>
    </row>
    <row r="74" spans="2:5">
      <c r="B74" s="7" t="s">
        <v>106</v>
      </c>
      <c r="C74" s="24">
        <v>0.87794276509756042</v>
      </c>
      <c r="D74" s="24">
        <v>0.4456437346285842</v>
      </c>
      <c r="E74" s="24">
        <v>0.17498046462145272</v>
      </c>
    </row>
    <row r="75" spans="2:5">
      <c r="B75" s="7" t="s">
        <v>107</v>
      </c>
      <c r="C75" s="24">
        <v>-0.52151061749791727</v>
      </c>
      <c r="D75" s="24">
        <v>0.71233838057865961</v>
      </c>
      <c r="E75" s="24">
        <v>0.46968149568778444</v>
      </c>
    </row>
    <row r="76" spans="2:5" ht="15" thickBot="1">
      <c r="B76" s="22" t="s">
        <v>108</v>
      </c>
      <c r="C76" s="25">
        <v>0.88773855456773021</v>
      </c>
      <c r="D76" s="25">
        <v>0.39128694789121399</v>
      </c>
      <c r="E76" s="25">
        <v>-0.24251759347308513</v>
      </c>
    </row>
    <row r="79" spans="2:5">
      <c r="B79" t="s">
        <v>121</v>
      </c>
    </row>
    <row r="80" spans="2:5" ht="15" thickBot="1"/>
    <row r="81" spans="2:5">
      <c r="B81" s="19"/>
      <c r="C81" s="20" t="s">
        <v>111</v>
      </c>
      <c r="D81" s="20" t="s">
        <v>112</v>
      </c>
      <c r="E81" s="20" t="s">
        <v>113</v>
      </c>
    </row>
    <row r="82" spans="2:5">
      <c r="B82" s="21" t="s">
        <v>105</v>
      </c>
      <c r="C82" s="23">
        <v>16.216187595631698</v>
      </c>
      <c r="D82" s="23">
        <v>30.685777446354987</v>
      </c>
      <c r="E82" s="23">
        <v>46.112740840366229</v>
      </c>
    </row>
    <row r="83" spans="2:5">
      <c r="B83" s="7" t="s">
        <v>106</v>
      </c>
      <c r="C83" s="24">
        <v>35.27304475394935</v>
      </c>
      <c r="D83" s="24">
        <v>16.022828795076073</v>
      </c>
      <c r="E83" s="24">
        <v>5.321773509798164</v>
      </c>
    </row>
    <row r="84" spans="2:5">
      <c r="B84" s="7" t="s">
        <v>107</v>
      </c>
      <c r="C84" s="24">
        <v>12.446202143895567</v>
      </c>
      <c r="D84" s="24">
        <v>40.938909618808694</v>
      </c>
      <c r="E84" s="24">
        <v>38.342829413766331</v>
      </c>
    </row>
    <row r="85" spans="2:5" ht="15" thickBot="1">
      <c r="B85" s="22" t="s">
        <v>108</v>
      </c>
      <c r="C85" s="25">
        <v>36.064565506523486</v>
      </c>
      <c r="D85" s="25">
        <v>12.352484139760229</v>
      </c>
      <c r="E85" s="25">
        <v>10.222656236069261</v>
      </c>
    </row>
    <row r="88" spans="2:5">
      <c r="B88" t="s">
        <v>122</v>
      </c>
    </row>
    <row r="89" spans="2:5" ht="15" thickBot="1"/>
    <row r="90" spans="2:5">
      <c r="B90" s="19"/>
      <c r="C90" s="20" t="s">
        <v>111</v>
      </c>
      <c r="D90" s="20" t="s">
        <v>112</v>
      </c>
      <c r="E90" s="20" t="s">
        <v>113</v>
      </c>
    </row>
    <row r="91" spans="2:5">
      <c r="B91" s="21" t="s">
        <v>105</v>
      </c>
      <c r="C91" s="23">
        <v>0.35435471757935816</v>
      </c>
      <c r="D91" s="26">
        <v>0.3803413545499954</v>
      </c>
      <c r="E91" s="23">
        <v>0.26530392787064644</v>
      </c>
    </row>
    <row r="92" spans="2:5">
      <c r="B92" s="7" t="s">
        <v>106</v>
      </c>
      <c r="C92" s="27">
        <v>0.77078349878714891</v>
      </c>
      <c r="D92" s="24">
        <v>0.19859833821371167</v>
      </c>
      <c r="E92" s="24">
        <v>3.0618162999139421E-2</v>
      </c>
    </row>
    <row r="93" spans="2:5">
      <c r="B93" s="7" t="s">
        <v>107</v>
      </c>
      <c r="C93" s="24">
        <v>0.27197332416305886</v>
      </c>
      <c r="D93" s="27">
        <v>0.50742596844542709</v>
      </c>
      <c r="E93" s="24">
        <v>0.22060070739151416</v>
      </c>
    </row>
    <row r="94" spans="2:5" ht="15" thickBot="1">
      <c r="B94" s="22" t="s">
        <v>108</v>
      </c>
      <c r="C94" s="28">
        <v>0.788079741266002</v>
      </c>
      <c r="D94" s="25">
        <v>0.15310547559002144</v>
      </c>
      <c r="E94" s="25">
        <v>5.8814783143976521E-2</v>
      </c>
    </row>
    <row r="95" spans="2:5">
      <c r="B95" s="29" t="s">
        <v>123</v>
      </c>
    </row>
    <row r="98" spans="2:5">
      <c r="B98" t="s">
        <v>124</v>
      </c>
    </row>
    <row r="99" spans="2:5" ht="15" thickBot="1"/>
    <row r="100" spans="2:5">
      <c r="B100" s="19"/>
      <c r="C100" s="20" t="s">
        <v>111</v>
      </c>
      <c r="D100" s="20" t="s">
        <v>112</v>
      </c>
      <c r="E100" s="20" t="s">
        <v>113</v>
      </c>
    </row>
    <row r="101" spans="2:5">
      <c r="B101" s="21" t="s">
        <v>125</v>
      </c>
      <c r="C101" s="23">
        <v>1.5587157674606946</v>
      </c>
      <c r="D101" s="23">
        <v>-1.4835586606057851</v>
      </c>
      <c r="E101" s="23">
        <v>0.25434482139779613</v>
      </c>
    </row>
    <row r="102" spans="2:5">
      <c r="B102" s="7" t="s">
        <v>126</v>
      </c>
      <c r="C102" s="24">
        <v>-2.4251398997893272</v>
      </c>
      <c r="D102" s="24">
        <v>-0.61764190022634569</v>
      </c>
      <c r="E102" s="24">
        <v>-2.126354985283933E-2</v>
      </c>
    </row>
    <row r="103" spans="2:5">
      <c r="B103" s="7" t="s">
        <v>127</v>
      </c>
      <c r="C103" s="24">
        <v>0.26810397829338883</v>
      </c>
      <c r="D103" s="24">
        <v>1.3403715974941672</v>
      </c>
      <c r="E103" s="24">
        <v>0.93442165168706237</v>
      </c>
    </row>
    <row r="104" spans="2:5" ht="15" thickBot="1">
      <c r="B104" s="22" t="s">
        <v>128</v>
      </c>
      <c r="C104" s="25">
        <v>0.59832015403524419</v>
      </c>
      <c r="D104" s="25">
        <v>0.76082896333796302</v>
      </c>
      <c r="E104" s="25">
        <v>-1.1675029232320191</v>
      </c>
    </row>
    <row r="127" spans="7:7">
      <c r="G127" t="s">
        <v>117</v>
      </c>
    </row>
    <row r="147" spans="2:7">
      <c r="G147" t="s">
        <v>117</v>
      </c>
    </row>
    <row r="150" spans="2:7">
      <c r="B150" t="s">
        <v>129</v>
      </c>
    </row>
    <row r="151" spans="2:7" ht="15" thickBot="1"/>
    <row r="152" spans="2:7">
      <c r="B152" s="19"/>
      <c r="C152" s="20" t="s">
        <v>111</v>
      </c>
      <c r="D152" s="20" t="s">
        <v>112</v>
      </c>
      <c r="E152" s="20" t="s">
        <v>113</v>
      </c>
    </row>
    <row r="153" spans="2:7">
      <c r="B153" s="21" t="s">
        <v>125</v>
      </c>
      <c r="C153" s="23">
        <v>27.79613464472305</v>
      </c>
      <c r="D153" s="23">
        <v>44.392850993332004</v>
      </c>
      <c r="E153" s="23">
        <v>2.8110143619449763</v>
      </c>
    </row>
    <row r="154" spans="2:7">
      <c r="B154" s="7" t="s">
        <v>126</v>
      </c>
      <c r="C154" s="24">
        <v>67.285912022282218</v>
      </c>
      <c r="D154" s="24">
        <v>7.6944413143084409</v>
      </c>
      <c r="E154" s="24">
        <v>1.9646663409324985E-2</v>
      </c>
    </row>
    <row r="155" spans="2:7">
      <c r="B155" s="7" t="s">
        <v>127</v>
      </c>
      <c r="C155" s="24">
        <v>0.82235069963392915</v>
      </c>
      <c r="D155" s="24">
        <v>36.237149176556137</v>
      </c>
      <c r="E155" s="24">
        <v>37.940500123809983</v>
      </c>
    </row>
    <row r="156" spans="2:7" ht="15" thickBot="1">
      <c r="B156" s="22" t="s">
        <v>128</v>
      </c>
      <c r="C156" s="25">
        <v>4.0956026333607856</v>
      </c>
      <c r="D156" s="25">
        <v>11.675558515803459</v>
      </c>
      <c r="E156" s="25">
        <v>59.228838850835771</v>
      </c>
    </row>
    <row r="159" spans="2:7">
      <c r="B159" t="s">
        <v>130</v>
      </c>
    </row>
    <row r="160" spans="2:7" ht="15" thickBot="1"/>
    <row r="161" spans="2:3">
      <c r="B161" s="19"/>
      <c r="C161" s="20" t="s">
        <v>131</v>
      </c>
    </row>
    <row r="162" spans="2:3">
      <c r="B162" s="21" t="s">
        <v>111</v>
      </c>
      <c r="C162" s="23">
        <v>0.5</v>
      </c>
    </row>
    <row r="163" spans="2:3">
      <c r="B163" s="7" t="s">
        <v>112</v>
      </c>
      <c r="C163" s="24">
        <v>0.5</v>
      </c>
    </row>
    <row r="164" spans="2:3" ht="15" thickBot="1">
      <c r="B164" s="22" t="s">
        <v>113</v>
      </c>
      <c r="C164" s="25">
        <v>0.5</v>
      </c>
    </row>
    <row r="184" spans="2:7">
      <c r="G184" t="s">
        <v>117</v>
      </c>
    </row>
    <row r="187" spans="2:7">
      <c r="B187" t="s">
        <v>132</v>
      </c>
    </row>
    <row r="188" spans="2:7" ht="15" thickBot="1"/>
    <row r="189" spans="2:7">
      <c r="B189" s="19"/>
      <c r="C189" s="20" t="s">
        <v>111</v>
      </c>
      <c r="D189" s="20" t="s">
        <v>112</v>
      </c>
      <c r="E189" s="20" t="s">
        <v>113</v>
      </c>
    </row>
    <row r="190" spans="2:7">
      <c r="B190" s="21" t="s">
        <v>125</v>
      </c>
      <c r="C190" s="26">
        <v>0.51745997226944018</v>
      </c>
      <c r="D190" s="23">
        <v>0.4687619477062816</v>
      </c>
      <c r="E190" s="23">
        <v>1.3778080024278237E-2</v>
      </c>
    </row>
    <row r="191" spans="2:7">
      <c r="B191" s="7" t="s">
        <v>126</v>
      </c>
      <c r="C191" s="27">
        <v>0.93901976822189404</v>
      </c>
      <c r="D191" s="24">
        <v>6.0908042503023667E-2</v>
      </c>
      <c r="E191" s="24">
        <v>7.2189275082378272E-5</v>
      </c>
    </row>
    <row r="192" spans="2:7">
      <c r="B192" s="7" t="s">
        <v>127</v>
      </c>
      <c r="C192" s="24">
        <v>2.621798573076653E-2</v>
      </c>
      <c r="D192" s="27">
        <v>0.65530463407403006</v>
      </c>
      <c r="E192" s="24">
        <v>0.3184773801952035</v>
      </c>
    </row>
    <row r="193" spans="2:5" ht="15" thickBot="1">
      <c r="B193" s="22" t="s">
        <v>128</v>
      </c>
      <c r="C193" s="25">
        <v>0.15565256168584832</v>
      </c>
      <c r="D193" s="25">
        <v>0.25168833199125118</v>
      </c>
      <c r="E193" s="28">
        <v>0.59265910632290064</v>
      </c>
    </row>
    <row r="194" spans="2:5">
      <c r="B194" s="29" t="s">
        <v>133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D650488">
              <controlPr defaultSize="0" autoFill="0" autoPict="0" macro="[0]!GoToResultsNew3007202614214378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5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B869-2D27-42C6-A67B-23F24AFF441B}">
  <dimension ref="A1:H15"/>
  <sheetViews>
    <sheetView workbookViewId="0">
      <selection sqref="A1:H15"/>
    </sheetView>
  </sheetViews>
  <sheetFormatPr defaultRowHeight="14.4"/>
  <sheetData>
    <row r="1" spans="1:8">
      <c r="A1" s="35" t="s">
        <v>37</v>
      </c>
      <c r="B1" s="35"/>
      <c r="C1" s="35" t="s">
        <v>38</v>
      </c>
      <c r="D1" s="35"/>
      <c r="E1" s="35" t="s">
        <v>39</v>
      </c>
      <c r="F1" s="35"/>
      <c r="G1" s="35" t="s">
        <v>40</v>
      </c>
      <c r="H1" s="35"/>
    </row>
    <row r="2" spans="1:8">
      <c r="A2" s="33"/>
      <c r="B2" s="33"/>
      <c r="C2" s="33"/>
      <c r="D2" s="33"/>
      <c r="E2" s="33"/>
      <c r="F2" s="33"/>
      <c r="G2" s="33"/>
      <c r="H2" s="33"/>
    </row>
    <row r="3" spans="1:8">
      <c r="A3" s="33" t="s">
        <v>41</v>
      </c>
      <c r="B3" s="33">
        <v>90.8</v>
      </c>
      <c r="C3" s="33" t="s">
        <v>41</v>
      </c>
      <c r="D3" s="33">
        <v>93.8</v>
      </c>
      <c r="E3" s="33" t="s">
        <v>41</v>
      </c>
      <c r="F3" s="33">
        <v>92</v>
      </c>
      <c r="G3" s="33" t="s">
        <v>41</v>
      </c>
      <c r="H3" s="33">
        <v>93.4</v>
      </c>
    </row>
    <row r="4" spans="1:8">
      <c r="A4" s="33" t="s">
        <v>42</v>
      </c>
      <c r="B4" s="33">
        <v>1.3928388277184121</v>
      </c>
      <c r="C4" s="33" t="s">
        <v>42</v>
      </c>
      <c r="D4" s="33">
        <v>2.1540659228538015</v>
      </c>
      <c r="E4" s="33" t="s">
        <v>42</v>
      </c>
      <c r="F4" s="33">
        <v>2.1213203435596424</v>
      </c>
      <c r="G4" s="33" t="s">
        <v>42</v>
      </c>
      <c r="H4" s="33">
        <v>1.4696938456699067</v>
      </c>
    </row>
    <row r="5" spans="1:8">
      <c r="A5" s="33" t="s">
        <v>43</v>
      </c>
      <c r="B5" s="33">
        <v>90</v>
      </c>
      <c r="C5" s="33" t="s">
        <v>43</v>
      </c>
      <c r="D5" s="33">
        <v>94</v>
      </c>
      <c r="E5" s="33" t="s">
        <v>43</v>
      </c>
      <c r="F5" s="33">
        <v>92</v>
      </c>
      <c r="G5" s="33" t="s">
        <v>43</v>
      </c>
      <c r="H5" s="33">
        <v>95</v>
      </c>
    </row>
    <row r="6" spans="1:8">
      <c r="A6" s="33" t="s">
        <v>44</v>
      </c>
      <c r="B6" s="33" t="e">
        <v>#N/A</v>
      </c>
      <c r="C6" s="33" t="s">
        <v>44</v>
      </c>
      <c r="D6" s="33">
        <v>94</v>
      </c>
      <c r="E6" s="33" t="s">
        <v>44</v>
      </c>
      <c r="F6" s="33" t="e">
        <v>#N/A</v>
      </c>
      <c r="G6" s="33" t="s">
        <v>44</v>
      </c>
      <c r="H6" s="33">
        <v>95</v>
      </c>
    </row>
    <row r="7" spans="1:8">
      <c r="A7" s="33" t="s">
        <v>45</v>
      </c>
      <c r="B7" s="33">
        <v>3.1144823004794877</v>
      </c>
      <c r="C7" s="33" t="s">
        <v>45</v>
      </c>
      <c r="D7" s="33">
        <v>4.8166378315169185</v>
      </c>
      <c r="E7" s="33" t="s">
        <v>45</v>
      </c>
      <c r="F7" s="33">
        <v>4.7434164902525691</v>
      </c>
      <c r="G7" s="33" t="s">
        <v>45</v>
      </c>
      <c r="H7" s="33">
        <v>3.2863353450309964</v>
      </c>
    </row>
    <row r="8" spans="1:8">
      <c r="A8" s="33" t="s">
        <v>46</v>
      </c>
      <c r="B8" s="33">
        <v>9.7000000000000011</v>
      </c>
      <c r="C8" s="33" t="s">
        <v>46</v>
      </c>
      <c r="D8" s="33">
        <v>23.200000000000003</v>
      </c>
      <c r="E8" s="33" t="s">
        <v>46</v>
      </c>
      <c r="F8" s="33">
        <v>22.5</v>
      </c>
      <c r="G8" s="33" t="s">
        <v>46</v>
      </c>
      <c r="H8" s="33">
        <v>10.799999999999999</v>
      </c>
    </row>
    <row r="9" spans="1:8">
      <c r="A9" s="33" t="s">
        <v>47</v>
      </c>
      <c r="B9" s="33">
        <v>2.6750983101286163</v>
      </c>
      <c r="C9" s="33" t="s">
        <v>47</v>
      </c>
      <c r="D9" s="33">
        <v>2.3487663495838174</v>
      </c>
      <c r="E9" s="33" t="s">
        <v>47</v>
      </c>
      <c r="F9" s="33">
        <v>-1.1999999999999984</v>
      </c>
      <c r="G9" s="33" t="s">
        <v>47</v>
      </c>
      <c r="H9" s="33">
        <v>-1.6872427983538971</v>
      </c>
    </row>
    <row r="10" spans="1:8">
      <c r="A10" s="33" t="s">
        <v>48</v>
      </c>
      <c r="B10" s="33">
        <v>1.5491313812566738</v>
      </c>
      <c r="C10" s="33" t="s">
        <v>48</v>
      </c>
      <c r="D10" s="33">
        <v>-1.2054122991701233</v>
      </c>
      <c r="E10" s="33" t="s">
        <v>48</v>
      </c>
      <c r="F10" s="33">
        <v>0</v>
      </c>
      <c r="G10" s="33" t="s">
        <v>48</v>
      </c>
      <c r="H10" s="33">
        <v>-0.51842052767979563</v>
      </c>
    </row>
    <row r="11" spans="1:8">
      <c r="A11" s="33" t="s">
        <v>49</v>
      </c>
      <c r="B11" s="33">
        <v>8</v>
      </c>
      <c r="C11" s="33" t="s">
        <v>49</v>
      </c>
      <c r="D11" s="33">
        <v>13</v>
      </c>
      <c r="E11" s="33" t="s">
        <v>49</v>
      </c>
      <c r="F11" s="33">
        <v>12</v>
      </c>
      <c r="G11" s="33" t="s">
        <v>49</v>
      </c>
      <c r="H11" s="33">
        <v>8</v>
      </c>
    </row>
    <row r="12" spans="1:8">
      <c r="A12" s="33" t="s">
        <v>50</v>
      </c>
      <c r="B12" s="33">
        <v>88</v>
      </c>
      <c r="C12" s="33" t="s">
        <v>50</v>
      </c>
      <c r="D12" s="33">
        <v>86</v>
      </c>
      <c r="E12" s="33" t="s">
        <v>50</v>
      </c>
      <c r="F12" s="33">
        <v>86</v>
      </c>
      <c r="G12" s="33" t="s">
        <v>50</v>
      </c>
      <c r="H12" s="33">
        <v>89</v>
      </c>
    </row>
    <row r="13" spans="1:8">
      <c r="A13" s="33" t="s">
        <v>51</v>
      </c>
      <c r="B13" s="33">
        <v>96</v>
      </c>
      <c r="C13" s="33" t="s">
        <v>51</v>
      </c>
      <c r="D13" s="33">
        <v>99</v>
      </c>
      <c r="E13" s="33" t="s">
        <v>51</v>
      </c>
      <c r="F13" s="33">
        <v>98</v>
      </c>
      <c r="G13" s="33" t="s">
        <v>51</v>
      </c>
      <c r="H13" s="33">
        <v>97</v>
      </c>
    </row>
    <row r="14" spans="1:8">
      <c r="A14" s="33" t="s">
        <v>52</v>
      </c>
      <c r="B14" s="33">
        <v>454</v>
      </c>
      <c r="C14" s="33" t="s">
        <v>52</v>
      </c>
      <c r="D14" s="33">
        <v>469</v>
      </c>
      <c r="E14" s="33" t="s">
        <v>52</v>
      </c>
      <c r="F14" s="33">
        <v>460</v>
      </c>
      <c r="G14" s="33" t="s">
        <v>52</v>
      </c>
      <c r="H14" s="33">
        <v>467</v>
      </c>
    </row>
    <row r="15" spans="1:8" ht="15" thickBot="1">
      <c r="A15" s="34" t="s">
        <v>53</v>
      </c>
      <c r="B15" s="34">
        <v>5</v>
      </c>
      <c r="C15" s="34" t="s">
        <v>53</v>
      </c>
      <c r="D15" s="34">
        <v>5</v>
      </c>
      <c r="E15" s="34" t="s">
        <v>53</v>
      </c>
      <c r="F15" s="34">
        <v>5</v>
      </c>
      <c r="G15" s="34" t="s">
        <v>53</v>
      </c>
      <c r="H15" s="34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4301-825C-4F90-B9F4-EADF465C321C}">
  <dimension ref="A1:H16"/>
  <sheetViews>
    <sheetView tabSelected="1" workbookViewId="0">
      <selection sqref="A1:H16"/>
    </sheetView>
  </sheetViews>
  <sheetFormatPr defaultRowHeight="14.4"/>
  <sheetData>
    <row r="1" spans="1:8">
      <c r="A1" s="35" t="s">
        <v>37</v>
      </c>
      <c r="B1" s="35"/>
      <c r="C1" s="35" t="s">
        <v>38</v>
      </c>
      <c r="D1" s="35"/>
      <c r="E1" s="35" t="s">
        <v>39</v>
      </c>
      <c r="F1" s="35"/>
      <c r="G1" s="35" t="s">
        <v>40</v>
      </c>
      <c r="H1" s="35"/>
    </row>
    <row r="2" spans="1:8">
      <c r="A2" s="33"/>
      <c r="B2" s="33"/>
      <c r="C2" s="33"/>
      <c r="D2" s="33"/>
      <c r="E2" s="33"/>
      <c r="F2" s="33"/>
      <c r="G2" s="33"/>
      <c r="H2" s="33"/>
    </row>
    <row r="3" spans="1:8">
      <c r="A3" s="33" t="s">
        <v>41</v>
      </c>
      <c r="B3" s="33">
        <v>90.8</v>
      </c>
      <c r="C3" s="33" t="s">
        <v>41</v>
      </c>
      <c r="D3" s="33">
        <v>93.8</v>
      </c>
      <c r="E3" s="33" t="s">
        <v>41</v>
      </c>
      <c r="F3" s="33">
        <v>92</v>
      </c>
      <c r="G3" s="33" t="s">
        <v>41</v>
      </c>
      <c r="H3" s="33">
        <v>93.4</v>
      </c>
    </row>
    <row r="4" spans="1:8">
      <c r="A4" s="33" t="s">
        <v>42</v>
      </c>
      <c r="B4" s="33">
        <v>1.3928388277184121</v>
      </c>
      <c r="C4" s="33" t="s">
        <v>42</v>
      </c>
      <c r="D4" s="33">
        <v>2.1540659228538015</v>
      </c>
      <c r="E4" s="33" t="s">
        <v>42</v>
      </c>
      <c r="F4" s="33">
        <v>2.1213203435596424</v>
      </c>
      <c r="G4" s="33" t="s">
        <v>42</v>
      </c>
      <c r="H4" s="33">
        <v>1.4696938456699067</v>
      </c>
    </row>
    <row r="5" spans="1:8">
      <c r="A5" s="33" t="s">
        <v>43</v>
      </c>
      <c r="B5" s="33">
        <v>90</v>
      </c>
      <c r="C5" s="33" t="s">
        <v>43</v>
      </c>
      <c r="D5" s="33">
        <v>94</v>
      </c>
      <c r="E5" s="33" t="s">
        <v>43</v>
      </c>
      <c r="F5" s="33">
        <v>92</v>
      </c>
      <c r="G5" s="33" t="s">
        <v>43</v>
      </c>
      <c r="H5" s="33">
        <v>95</v>
      </c>
    </row>
    <row r="6" spans="1:8">
      <c r="A6" s="33" t="s">
        <v>44</v>
      </c>
      <c r="B6" s="33" t="e">
        <v>#N/A</v>
      </c>
      <c r="C6" s="33" t="s">
        <v>44</v>
      </c>
      <c r="D6" s="33">
        <v>94</v>
      </c>
      <c r="E6" s="33" t="s">
        <v>44</v>
      </c>
      <c r="F6" s="33" t="e">
        <v>#N/A</v>
      </c>
      <c r="G6" s="33" t="s">
        <v>44</v>
      </c>
      <c r="H6" s="33">
        <v>95</v>
      </c>
    </row>
    <row r="7" spans="1:8">
      <c r="A7" s="33" t="s">
        <v>45</v>
      </c>
      <c r="B7" s="33">
        <v>3.1144823004794877</v>
      </c>
      <c r="C7" s="33" t="s">
        <v>45</v>
      </c>
      <c r="D7" s="33">
        <v>4.8166378315169185</v>
      </c>
      <c r="E7" s="33" t="s">
        <v>45</v>
      </c>
      <c r="F7" s="33">
        <v>4.7434164902525691</v>
      </c>
      <c r="G7" s="33" t="s">
        <v>45</v>
      </c>
      <c r="H7" s="33">
        <v>3.2863353450309964</v>
      </c>
    </row>
    <row r="8" spans="1:8">
      <c r="A8" s="33" t="s">
        <v>46</v>
      </c>
      <c r="B8" s="33">
        <v>9.7000000000000011</v>
      </c>
      <c r="C8" s="33" t="s">
        <v>46</v>
      </c>
      <c r="D8" s="33">
        <v>23.200000000000003</v>
      </c>
      <c r="E8" s="33" t="s">
        <v>46</v>
      </c>
      <c r="F8" s="33">
        <v>22.5</v>
      </c>
      <c r="G8" s="33" t="s">
        <v>46</v>
      </c>
      <c r="H8" s="33">
        <v>10.799999999999999</v>
      </c>
    </row>
    <row r="9" spans="1:8">
      <c r="A9" s="33" t="s">
        <v>47</v>
      </c>
      <c r="B9" s="33">
        <v>2.6750983101286163</v>
      </c>
      <c r="C9" s="33" t="s">
        <v>47</v>
      </c>
      <c r="D9" s="33">
        <v>2.3487663495838174</v>
      </c>
      <c r="E9" s="33" t="s">
        <v>47</v>
      </c>
      <c r="F9" s="33">
        <v>-1.1999999999999984</v>
      </c>
      <c r="G9" s="33" t="s">
        <v>47</v>
      </c>
      <c r="H9" s="33">
        <v>-1.6872427983538971</v>
      </c>
    </row>
    <row r="10" spans="1:8">
      <c r="A10" s="33" t="s">
        <v>48</v>
      </c>
      <c r="B10" s="33">
        <v>1.5491313812566738</v>
      </c>
      <c r="C10" s="33" t="s">
        <v>48</v>
      </c>
      <c r="D10" s="33">
        <v>-1.2054122991701233</v>
      </c>
      <c r="E10" s="33" t="s">
        <v>48</v>
      </c>
      <c r="F10" s="33">
        <v>0</v>
      </c>
      <c r="G10" s="33" t="s">
        <v>48</v>
      </c>
      <c r="H10" s="33">
        <v>-0.51842052767979563</v>
      </c>
    </row>
    <row r="11" spans="1:8">
      <c r="A11" s="33" t="s">
        <v>49</v>
      </c>
      <c r="B11" s="33">
        <v>8</v>
      </c>
      <c r="C11" s="33" t="s">
        <v>49</v>
      </c>
      <c r="D11" s="33">
        <v>13</v>
      </c>
      <c r="E11" s="33" t="s">
        <v>49</v>
      </c>
      <c r="F11" s="33">
        <v>12</v>
      </c>
      <c r="G11" s="33" t="s">
        <v>49</v>
      </c>
      <c r="H11" s="33">
        <v>8</v>
      </c>
    </row>
    <row r="12" spans="1:8">
      <c r="A12" s="33" t="s">
        <v>50</v>
      </c>
      <c r="B12" s="33">
        <v>88</v>
      </c>
      <c r="C12" s="33" t="s">
        <v>50</v>
      </c>
      <c r="D12" s="33">
        <v>86</v>
      </c>
      <c r="E12" s="33" t="s">
        <v>50</v>
      </c>
      <c r="F12" s="33">
        <v>86</v>
      </c>
      <c r="G12" s="33" t="s">
        <v>50</v>
      </c>
      <c r="H12" s="33">
        <v>89</v>
      </c>
    </row>
    <row r="13" spans="1:8">
      <c r="A13" s="33" t="s">
        <v>51</v>
      </c>
      <c r="B13" s="33">
        <v>96</v>
      </c>
      <c r="C13" s="33" t="s">
        <v>51</v>
      </c>
      <c r="D13" s="33">
        <v>99</v>
      </c>
      <c r="E13" s="33" t="s">
        <v>51</v>
      </c>
      <c r="F13" s="33">
        <v>98</v>
      </c>
      <c r="G13" s="33" t="s">
        <v>51</v>
      </c>
      <c r="H13" s="33">
        <v>97</v>
      </c>
    </row>
    <row r="14" spans="1:8">
      <c r="A14" s="33" t="s">
        <v>52</v>
      </c>
      <c r="B14" s="33">
        <v>454</v>
      </c>
      <c r="C14" s="33" t="s">
        <v>52</v>
      </c>
      <c r="D14" s="33">
        <v>469</v>
      </c>
      <c r="E14" s="33" t="s">
        <v>52</v>
      </c>
      <c r="F14" s="33">
        <v>460</v>
      </c>
      <c r="G14" s="33" t="s">
        <v>52</v>
      </c>
      <c r="H14" s="33">
        <v>467</v>
      </c>
    </row>
    <row r="15" spans="1:8">
      <c r="A15" s="33" t="s">
        <v>53</v>
      </c>
      <c r="B15" s="33">
        <v>5</v>
      </c>
      <c r="C15" s="33" t="s">
        <v>53</v>
      </c>
      <c r="D15" s="33">
        <v>5</v>
      </c>
      <c r="E15" s="33" t="s">
        <v>53</v>
      </c>
      <c r="F15" s="33">
        <v>5</v>
      </c>
      <c r="G15" s="33" t="s">
        <v>53</v>
      </c>
      <c r="H15" s="33">
        <v>5</v>
      </c>
    </row>
    <row r="16" spans="1:8" ht="15" thickBot="1">
      <c r="A16" s="34" t="s">
        <v>54</v>
      </c>
      <c r="B16" s="34">
        <v>3.8671405455482173</v>
      </c>
      <c r="C16" s="34" t="s">
        <v>54</v>
      </c>
      <c r="D16" s="34">
        <v>5.9806457877808041</v>
      </c>
      <c r="E16" s="34" t="s">
        <v>54</v>
      </c>
      <c r="F16" s="34">
        <v>5.88972948443267</v>
      </c>
      <c r="G16" s="34" t="s">
        <v>54</v>
      </c>
      <c r="H16" s="34">
        <v>4.0805242839495328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E981E-6FEA-4A5D-8D89-FBD97F5675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EXP 1</vt:lpstr>
      <vt:lpstr>XLSTAT_20260730_142043_1_HID1</vt:lpstr>
      <vt:lpstr>XLSTAT_20260730_142043_1_HID</vt:lpstr>
      <vt:lpstr>EXP 2A</vt:lpstr>
      <vt:lpstr>EXP 2B</vt:lpstr>
      <vt:lpstr>EXP 3</vt:lpstr>
      <vt:lpstr>EXP 4A</vt:lpstr>
      <vt:lpstr>EXP 4B</vt:lpstr>
      <vt:lpstr>EXP 4C</vt:lpstr>
      <vt:lpstr>EXP 5</vt:lpstr>
      <vt:lpstr>EXP 6</vt:lpstr>
      <vt:lpstr>EXP 7A</vt:lpstr>
      <vt:lpstr>EXP 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2026-07-09T14:33:38Z</dcterms:created>
  <dcterms:modified xsi:type="dcterms:W3CDTF">2026-07-30T09:14:50Z</dcterms:modified>
</cp:coreProperties>
</file>